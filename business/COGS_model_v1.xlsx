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UnitCost_A" sheetId="3" state="visible" r:id="rId5"/>
    <sheet name="UnitCost_B" sheetId="4" state="visible" r:id="rId6"/>
    <sheet name="UnitCost_C" sheetId="5" state="visible" r:id="rId7"/>
    <sheet name="Annual_PnL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<sst xmlns="http://schemas.openxmlformats.org/spreadsheetml/2006/main" count="339" uniqueCount="276">
  <si>
    <r>
      <rPr>
        <b val="true"/>
        <sz val="12"/>
        <rFont val="Noto Sans CJK SC"/>
        <family val="2"/>
      </rPr>
      <t xml:space="preserve">매출원가</t>
    </r>
    <r>
      <rPr>
        <b val="true"/>
        <sz val="12"/>
        <rFont val="Arial"/>
        <family val="0"/>
        <charset val="1"/>
      </rPr>
      <t xml:space="preserve">(COGS) </t>
    </r>
    <r>
      <rPr>
        <b val="true"/>
        <sz val="12"/>
        <rFont val="Noto Sans CJK SC"/>
        <family val="2"/>
      </rPr>
      <t xml:space="preserve">모델 </t>
    </r>
    <r>
      <rPr>
        <b val="true"/>
        <sz val="12"/>
        <rFont val="Arial"/>
        <family val="0"/>
        <charset val="1"/>
      </rPr>
      <t xml:space="preserve">v1 — </t>
    </r>
    <r>
      <rPr>
        <b val="true"/>
        <sz val="12"/>
        <rFont val="Noto Sans CJK SC"/>
        <family val="2"/>
      </rPr>
      <t xml:space="preserve">심장 디지털 트윈 파이프라인의 세 가지 사업 형태</t>
    </r>
  </si>
  <si>
    <r>
      <rPr>
        <sz val="10"/>
        <rFont val="Noto Sans CJK SC"/>
        <family val="2"/>
      </rPr>
      <t xml:space="preserve">작성 </t>
    </r>
    <r>
      <rPr>
        <sz val="10"/>
        <rFont val="Arial"/>
        <family val="0"/>
        <charset val="1"/>
      </rPr>
      <t xml:space="preserve">2026-09-16. </t>
    </r>
    <r>
      <rPr>
        <sz val="10"/>
        <rFont val="Noto Sans CJK SC"/>
        <family val="2"/>
      </rPr>
      <t xml:space="preserve">모든 숫자는 가정치이며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으로 표시된 것은 시장 조사가 아닌 자릿수 추정이다</t>
    </r>
    <r>
      <rPr>
        <sz val="10"/>
        <rFont val="Arial"/>
        <family val="0"/>
        <charset val="1"/>
      </rPr>
      <t xml:space="preserve">. Inputs </t>
    </r>
    <r>
      <rPr>
        <sz val="10"/>
        <rFont val="Noto Sans CJK SC"/>
        <family val="2"/>
      </rPr>
      <t xml:space="preserve">시트의 파란 글씨를 실제 값으로 바꾸면 전체가 재계산된다</t>
    </r>
    <r>
      <rPr>
        <sz val="10"/>
        <rFont val="Arial"/>
        <family val="0"/>
        <charset val="1"/>
      </rPr>
      <t xml:space="preserve">.</t>
    </r>
  </si>
  <si>
    <t xml:space="preserve">시트 구성</t>
  </si>
  <si>
    <r>
      <rPr>
        <sz val="10"/>
        <rFont val="Arial"/>
        <family val="0"/>
        <charset val="1"/>
      </rPr>
      <t xml:space="preserve">Inputs — </t>
    </r>
    <r>
      <rPr>
        <sz val="10"/>
        <rFont val="Noto Sans CJK SC"/>
        <family val="2"/>
      </rPr>
      <t xml:space="preserve">인건비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간접비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가격 레버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노란 칸이 결과를 가장 크게 움직이는 값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</si>
  <si>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UnitCost_A — </t>
    </r>
    <r>
      <rPr>
        <sz val="10"/>
        <rFont val="Noto Sans CJK SC"/>
        <family val="2"/>
      </rPr>
      <t xml:space="preserve">산학 수탁 과제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환자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케이스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형상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팬텀</t>
    </r>
    <r>
      <rPr>
        <sz val="10"/>
        <rFont val="Arial"/>
        <family val="0"/>
        <charset val="1"/>
      </rPr>
      <t xml:space="preserve">+CFD+</t>
    </r>
    <r>
      <rPr>
        <sz val="10"/>
        <rFont val="Noto Sans CJK SC"/>
        <family val="2"/>
      </rPr>
      <t xml:space="preserve">보고서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원가 → 과제 원가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용량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</si>
  <si>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UnitCost_B — V&amp;V40 </t>
    </r>
    <r>
      <rPr>
        <sz val="10"/>
        <rFont val="Noto Sans CJK SC"/>
        <family val="2"/>
      </rPr>
      <t xml:space="preserve">규제 근거 패키지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기기 프로그램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건의 활동별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비인건비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</si>
  <si>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UnitCost_C — </t>
    </r>
    <r>
      <rPr>
        <sz val="10"/>
        <rFont val="Noto Sans CJK SC"/>
        <family val="2"/>
      </rPr>
      <t xml:space="preserve">케이스당 시술 계획 서비스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변동원가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공헌이익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손익분기 케이스 수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</si>
  <si>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Annual_PnL — 5</t>
    </r>
    <r>
      <rPr>
        <sz val="10"/>
        <rFont val="Noto Sans CJK SC"/>
        <family val="2"/>
      </rPr>
      <t xml:space="preserve">년 시나리오</t>
    </r>
    <r>
      <rPr>
        <sz val="10"/>
        <rFont val="Arial"/>
        <family val="0"/>
        <charset val="1"/>
      </rPr>
      <t xml:space="preserve">(A→B </t>
    </r>
    <r>
      <rPr>
        <sz val="10"/>
        <rFont val="Noto Sans CJK SC"/>
        <family val="2"/>
      </rPr>
      <t xml:space="preserve">전환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인건비는 가동률과 무관하게 전액 비용 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보수적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</si>
  <si>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Sensitivity — B(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단가</t>
    </r>
    <r>
      <rPr>
        <sz val="10"/>
        <rFont val="Arial"/>
        <family val="0"/>
        <charset val="1"/>
      </rPr>
      <t xml:space="preserve">), A(</t>
    </r>
    <r>
      <rPr>
        <sz val="10"/>
        <rFont val="Noto Sans CJK SC"/>
        <family val="2"/>
      </rPr>
      <t xml:space="preserve">케이스 수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단가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매출총이익률 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</si>
  <si>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색 규칙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입력값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다른 시트 참조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노란 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핵심 레버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</si>
  <si>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</si>
  <si>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이 모델은 사업 구조를 보기 위한 추정이지 재무 자문이 아니다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장비 견적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급여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계약 단가로 바꿔야 의미가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</si>
  <si>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Annual_PnL</t>
    </r>
    <r>
      <rPr>
        <sz val="10"/>
        <rFont val="Noto Sans CJK SC"/>
        <family val="2"/>
      </rPr>
      <t xml:space="preserve">의 인건비는 급여 전액이다</t>
    </r>
    <r>
      <rPr>
        <sz val="10"/>
        <rFont val="Arial"/>
        <family val="0"/>
        <charset val="1"/>
      </rPr>
      <t xml:space="preserve">. UnitCost </t>
    </r>
    <r>
      <rPr>
        <sz val="10"/>
        <rFont val="Noto Sans CJK SC"/>
        <family val="2"/>
      </rPr>
      <t xml:space="preserve">시트의 시간당 원가와 이중 계상하지 않도록 비인건비 직접원가만 가져온다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</si>
  <si>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C </t>
    </r>
    <r>
      <rPr>
        <sz val="10"/>
        <rFont val="Noto Sans CJK SC"/>
        <family val="2"/>
      </rPr>
      <t xml:space="preserve">형태는 인허가</t>
    </r>
    <r>
      <rPr>
        <sz val="10"/>
        <rFont val="Arial"/>
        <family val="0"/>
        <charset val="1"/>
      </rPr>
      <t xml:space="preserve">(SaMD)</t>
    </r>
    <r>
      <rPr>
        <sz val="10"/>
        <rFont val="Noto Sans CJK SC"/>
        <family val="2"/>
      </rPr>
      <t xml:space="preserve">와 임상 근거가 전제이며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확률과 기간은 모델에 없다 — 손익분기 케이스 수만 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</si>
  <si>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MM-WHS </t>
    </r>
    <r>
      <rPr>
        <sz val="10"/>
        <rFont val="Noto Sans CJK SC"/>
        <family val="2"/>
      </rPr>
      <t xml:space="preserve">등 연구용 라이선스 데이터는 상업 서비스에 쓸 수 없다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데이터 확보 비용은 별도</t>
    </r>
    <r>
      <rPr>
        <sz val="10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</si>
  <si>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가정치 </t>
    </r>
    <r>
      <rPr>
        <b val="true"/>
        <sz val="13"/>
        <rFont val="Arial"/>
        <family val="0"/>
        <charset val="1"/>
      </rPr>
      <t xml:space="preserve">(Inputs) — </t>
    </r>
    <r>
      <rPr>
        <b val="true"/>
        <sz val="13"/>
        <rFont val="Noto Sans CJK SC"/>
        <family val="2"/>
      </rPr>
      <t xml:space="preserve">파란 글씨는 전부 수정 가능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노란 칸은 결과에 가장 크게 영향을 주는 레버</t>
    </r>
  </si>
  <si>
    <r>
      <rPr>
        <sz val="11"/>
        <color rgb="FF000000"/>
        <rFont val="Noto Sans CJK SC"/>
        <family val="2"/>
      </rPr>
      <t xml:space="preserve">통화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원</t>
    </r>
    <r>
      <rPr>
        <sz val="11"/>
        <color rgb="FF000000"/>
        <rFont val="Arial"/>
        <family val="0"/>
        <charset val="1"/>
      </rPr>
      <t xml:space="preserve">(KRW). </t>
    </r>
    <r>
      <rPr>
        <sz val="11"/>
        <color rgb="FF000000"/>
        <rFont val="Noto Sans CJK SC"/>
        <family val="2"/>
      </rPr>
      <t xml:space="preserve">출처 표기</t>
    </r>
    <r>
      <rPr>
        <sz val="11"/>
        <color rgb="FF000000"/>
        <rFont val="Arial"/>
        <family val="0"/>
        <charset val="1"/>
      </rPr>
      <t xml:space="preserve">: 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= </t>
    </r>
    <r>
      <rPr>
        <sz val="11"/>
        <color rgb="FF000000"/>
        <rFont val="Noto Sans CJK SC"/>
        <family val="2"/>
      </rPr>
      <t xml:space="preserve">제</t>
    </r>
    <r>
      <rPr>
        <sz val="11"/>
        <color rgb="FF000000"/>
        <rFont val="Arial"/>
        <family val="0"/>
        <charset val="1"/>
      </rPr>
      <t xml:space="preserve">(Claude) </t>
    </r>
    <r>
      <rPr>
        <sz val="11"/>
        <color rgb="FF000000"/>
        <rFont val="Noto Sans CJK SC"/>
        <family val="2"/>
      </rPr>
      <t xml:space="preserve">자릿수 추정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검증된 시장 데이터 아님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실제 견적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장비가로 바꿔 쓸 것</t>
    </r>
    <r>
      <rPr>
        <sz val="11"/>
        <color rgb="FF000000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</si>
  <si>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</si>
  <si>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</si>
  <si>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단위</t>
  </si>
  <si>
    <r>
      <rPr>
        <b val="true"/>
        <sz val="11"/>
        <color rgb="FFFFFFFF"/>
        <rFont val="Noto Sans CJK SC"/>
        <family val="2"/>
      </rPr>
      <t xml:space="preserve">출처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비고</t>
    </r>
  </si>
  <si>
    <r>
      <rPr>
        <b val="true"/>
        <sz val="11"/>
        <color rgb="FF000000"/>
        <rFont val="Arial"/>
        <family val="0"/>
        <charset val="1"/>
      </rPr>
      <t xml:space="preserve">1. </t>
    </r>
    <r>
      <rPr>
        <b val="true"/>
        <sz val="11"/>
        <color rgb="FF000000"/>
        <rFont val="Noto Sans CJK SC"/>
        <family val="2"/>
      </rPr>
      <t xml:space="preserve">인건비</t>
    </r>
  </si>
  <si>
    <r>
      <rPr>
        <sz val="11"/>
        <color rgb="FF000000"/>
        <rFont val="Noto Sans CJK SC"/>
        <family val="2"/>
      </rPr>
      <t xml:space="preserve">엔지니어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석사급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연봉</t>
    </r>
  </si>
  <si>
    <r>
      <rPr>
        <sz val="11"/>
        <color rgb="FF000000"/>
        <rFont val="Arial"/>
        <family val="0"/>
        <charset val="1"/>
      </rPr>
      <t xml:space="preserve">₩/</t>
    </r>
    <r>
      <rPr>
        <sz val="11"/>
        <color rgb="FF000000"/>
        <rFont val="Noto Sans CJK SC"/>
        <family val="2"/>
      </rPr>
      <t xml:space="preserve">년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</si>
  <si>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국내 의공학 석사 초임</t>
    </r>
    <r>
      <rPr>
        <sz val="11"/>
        <color rgb="FF000000"/>
        <rFont val="Arial"/>
        <family val="0"/>
        <charset val="1"/>
      </rPr>
      <t xml:space="preserve">~3</t>
    </r>
    <r>
      <rPr>
        <sz val="11"/>
        <color rgb="FF000000"/>
        <rFont val="Noto Sans CJK SC"/>
        <family val="2"/>
      </rPr>
      <t xml:space="preserve">년차 대역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실제 채용 조건으로 교체</t>
    </r>
  </si>
  <si>
    <r>
      <rPr>
        <sz val="11"/>
        <color rgb="FF000000"/>
        <rFont val="Noto Sans CJK SC"/>
        <family val="2"/>
      </rPr>
      <t xml:space="preserve">부대비용 배수</t>
    </r>
    <r>
      <rPr>
        <sz val="11"/>
        <color rgb="FF000000"/>
        <rFont val="Arial"/>
        <family val="0"/>
        <charset val="1"/>
      </rPr>
      <t xml:space="preserve">(4</t>
    </r>
    <r>
      <rPr>
        <sz val="11"/>
        <color rgb="FF000000"/>
        <rFont val="Noto Sans CJK SC"/>
        <family val="2"/>
      </rPr>
      <t xml:space="preserve">대보험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퇴직급여 등</t>
    </r>
    <r>
      <rPr>
        <sz val="11"/>
        <color rgb="FF000000"/>
        <rFont val="Arial"/>
        <family val="0"/>
        <charset val="1"/>
      </rPr>
      <t xml:space="preserve">)</t>
    </r>
  </si>
  <si>
    <t xml:space="preserve">배</t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</si>
  <si>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통상 </t>
    </r>
    <r>
      <rPr>
        <sz val="11"/>
        <color rgb="FF000000"/>
        <rFont val="Arial"/>
        <family val="0"/>
        <charset val="1"/>
      </rPr>
      <t xml:space="preserve">1.15~1.25</t>
    </r>
  </si>
  <si>
    <r>
      <rPr>
        <sz val="11"/>
        <color rgb="FF000000"/>
        <rFont val="Noto Sans CJK SC"/>
        <family val="2"/>
      </rPr>
      <t xml:space="preserve">연간 청구가능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직접투입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시간</t>
    </r>
  </si>
  <si>
    <r>
      <rPr>
        <sz val="11"/>
        <color rgb="FF000000"/>
        <rFont val="Arial"/>
        <family val="0"/>
        <charset val="1"/>
      </rPr>
      <t xml:space="preserve">h/</t>
    </r>
    <r>
      <rPr>
        <sz val="11"/>
        <color rgb="FF000000"/>
        <rFont val="Noto Sans CJK SC"/>
        <family val="2"/>
      </rPr>
      <t xml:space="preserve">년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</si>
  <si>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연 </t>
    </r>
    <r>
      <rPr>
        <sz val="11"/>
        <color rgb="FF000000"/>
        <rFont val="Arial"/>
        <family val="0"/>
        <charset val="1"/>
      </rPr>
      <t xml:space="preserve">2,000h </t>
    </r>
    <r>
      <rPr>
        <sz val="11"/>
        <color rgb="FF000000"/>
        <rFont val="Noto Sans CJK SC"/>
        <family val="2"/>
      </rPr>
      <t xml:space="preserve">근무 중 </t>
    </r>
    <r>
      <rPr>
        <sz val="11"/>
        <color rgb="FF000000"/>
        <rFont val="Arial"/>
        <family val="0"/>
        <charset val="1"/>
      </rPr>
      <t xml:space="preserve">80%</t>
    </r>
    <r>
      <rPr>
        <sz val="11"/>
        <color rgb="FF000000"/>
        <rFont val="Noto Sans CJK SC"/>
        <family val="2"/>
      </rPr>
      <t xml:space="preserve">가 프로젝트 직접투입</t>
    </r>
  </si>
  <si>
    <t xml:space="preserve">엔지니어 시간당 원가</t>
  </si>
  <si>
    <t xml:space="preserve">₩/h</t>
  </si>
  <si>
    <r>
      <rPr>
        <sz val="11"/>
        <color rgb="FF000000"/>
        <rFont val="Noto Sans CJK SC"/>
        <family val="2"/>
      </rPr>
      <t xml:space="preserve">→ 연봉 </t>
    </r>
    <r>
      <rPr>
        <sz val="11"/>
        <color rgb="FF000000"/>
        <rFont val="Arial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부대비용 배수 </t>
    </r>
    <r>
      <rPr>
        <sz val="11"/>
        <color rgb="FF000000"/>
        <rFont val="Arial"/>
        <family val="0"/>
        <charset val="1"/>
      </rPr>
      <t xml:space="preserve">÷ </t>
    </r>
    <r>
      <rPr>
        <sz val="11"/>
        <color rgb="FF000000"/>
        <rFont val="Noto Sans CJK SC"/>
        <family val="2"/>
      </rPr>
      <t xml:space="preserve">청구가능 시간</t>
    </r>
  </si>
  <si>
    <r>
      <rPr>
        <sz val="11"/>
        <color rgb="FF000000"/>
        <rFont val="Arial"/>
        <family val="0"/>
        <charset val="1"/>
      </rPr>
      <t xml:space="preserve">PI/</t>
    </r>
    <r>
      <rPr>
        <sz val="11"/>
        <color rgb="FF000000"/>
        <rFont val="Noto Sans CJK SC"/>
        <family val="2"/>
      </rPr>
      <t xml:space="preserve">시니어 자문 시간당 원가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</si>
  <si>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교수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시니어 엔지니어 자문 단가</t>
    </r>
  </si>
  <si>
    <r>
      <rPr>
        <sz val="11"/>
        <color rgb="FF000000"/>
        <rFont val="Noto Sans CJK SC"/>
        <family val="2"/>
      </rPr>
      <t xml:space="preserve">기술원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랩테크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프린팅 보조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시간당 원가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</si>
  <si>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</t>
    </r>
  </si>
  <si>
    <r>
      <rPr>
        <b val="true"/>
        <sz val="11"/>
        <color rgb="FF000000"/>
        <rFont val="Arial"/>
        <family val="0"/>
        <charset val="1"/>
      </rPr>
      <t xml:space="preserve">2. </t>
    </r>
    <r>
      <rPr>
        <b val="true"/>
        <sz val="11"/>
        <color rgb="FF000000"/>
        <rFont val="Noto Sans CJK SC"/>
        <family val="2"/>
      </rPr>
      <t xml:space="preserve">재료비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팬텀 </t>
    </r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개 기준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</si>
  <si>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실리콘 단가</t>
  </si>
  <si>
    <t xml:space="preserve">₩/kg</t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</si>
  <si>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Sylgard 184·Ecoflex </t>
    </r>
    <r>
      <rPr>
        <sz val="11"/>
        <color rgb="FF000000"/>
        <rFont val="Noto Sans CJK SC"/>
        <family val="2"/>
      </rPr>
      <t xml:space="preserve">급 소매가 대역</t>
    </r>
  </si>
  <si>
    <t xml:space="preserve">팬텀당 실리콘 사용량</t>
  </si>
  <si>
    <t xml:space="preserve">kg</t>
  </si>
  <si>
    <r>
      <rPr>
        <sz val="11"/>
        <color rgb="FF000000"/>
        <rFont val="Arial"/>
        <family val="0"/>
        <charset val="1"/>
      </rPr>
      <t xml:space="preserve">phantom_design.json: </t>
    </r>
    <r>
      <rPr>
        <sz val="11"/>
        <color rgb="FF000000"/>
        <rFont val="Noto Sans CJK SC"/>
        <family val="2"/>
      </rPr>
      <t xml:space="preserve">실리콘 </t>
    </r>
    <r>
      <rPr>
        <sz val="11"/>
        <color rgb="FF000000"/>
        <rFont val="Arial"/>
        <family val="0"/>
        <charset val="1"/>
      </rPr>
      <t xml:space="preserve">0.98 L ≈ 1.06 kg + </t>
    </r>
    <r>
      <rPr>
        <sz val="11"/>
        <color rgb="FF000000"/>
        <rFont val="Noto Sans CJK SC"/>
        <family val="2"/>
      </rPr>
      <t xml:space="preserve">손실</t>
    </r>
  </si>
  <si>
    <r>
      <rPr>
        <sz val="11"/>
        <color rgb="FF000000"/>
        <rFont val="Arial"/>
        <family val="0"/>
        <charset val="1"/>
      </rPr>
      <t xml:space="preserve">PVA </t>
    </r>
    <r>
      <rPr>
        <sz val="11"/>
        <color rgb="FF000000"/>
        <rFont val="Noto Sans CJK SC"/>
        <family val="2"/>
      </rPr>
      <t xml:space="preserve">필라멘트 단가</t>
    </r>
  </si>
  <si>
    <r>
      <rPr>
        <sz val="11"/>
        <color rgb="FF000000"/>
        <rFont val="Noto Sans CJK SC"/>
        <family val="2"/>
      </rPr>
      <t xml:space="preserve">코어 </t>
    </r>
    <r>
      <rPr>
        <sz val="11"/>
        <color rgb="FF000000"/>
        <rFont val="Arial"/>
        <family val="0"/>
        <charset val="1"/>
      </rPr>
      <t xml:space="preserve">PVA </t>
    </r>
    <r>
      <rPr>
        <sz val="11"/>
        <color rgb="FF000000"/>
        <rFont val="Noto Sans CJK SC"/>
        <family val="2"/>
      </rPr>
      <t xml:space="preserve">사용량</t>
    </r>
  </si>
  <si>
    <r>
      <rPr>
        <sz val="11"/>
        <color rgb="FF000000"/>
        <rFont val="Arial"/>
        <family val="0"/>
        <charset val="1"/>
      </rPr>
      <t xml:space="preserve">core 173.7 mL ≈ 0.2 kg (PVA </t>
    </r>
    <r>
      <rPr>
        <sz val="11"/>
        <color rgb="FF000000"/>
        <rFont val="Noto Sans CJK SC"/>
        <family val="2"/>
      </rPr>
      <t xml:space="preserve">밀도 </t>
    </r>
    <r>
      <rPr>
        <sz val="11"/>
        <color rgb="FF000000"/>
        <rFont val="Arial"/>
        <family val="0"/>
        <charset val="1"/>
      </rPr>
      <t xml:space="preserve">1.2) — </t>
    </r>
    <r>
      <rPr>
        <sz val="11"/>
        <color rgb="FF000000"/>
        <rFont val="Noto Sans CJK SC"/>
        <family val="2"/>
      </rPr>
      <t xml:space="preserve">서포트 포함</t>
    </r>
  </si>
  <si>
    <r>
      <rPr>
        <sz val="11"/>
        <color rgb="FF000000"/>
        <rFont val="Arial"/>
        <family val="0"/>
        <charset val="1"/>
      </rPr>
      <t xml:space="preserve">PLA </t>
    </r>
    <r>
      <rPr>
        <sz val="11"/>
        <color rgb="FF000000"/>
        <rFont val="Noto Sans CJK SC"/>
        <family val="2"/>
      </rPr>
      <t xml:space="preserve">단가</t>
    </r>
  </si>
  <si>
    <r>
      <rPr>
        <sz val="11"/>
        <color rgb="FF000000"/>
        <rFont val="Noto Sans CJK SC"/>
        <family val="2"/>
      </rPr>
      <t xml:space="preserve">주형 상자</t>
    </r>
    <r>
      <rPr>
        <sz val="11"/>
        <color rgb="FF000000"/>
        <rFont val="Arial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절개 모형 </t>
    </r>
    <r>
      <rPr>
        <sz val="11"/>
        <color rgb="FF000000"/>
        <rFont val="Arial"/>
        <family val="0"/>
        <charset val="1"/>
      </rPr>
      <t xml:space="preserve">PLA </t>
    </r>
    <r>
      <rPr>
        <sz val="11"/>
        <color rgb="FF000000"/>
        <rFont val="Noto Sans CJK SC"/>
        <family val="2"/>
      </rPr>
      <t xml:space="preserve">사용량</t>
    </r>
  </si>
  <si>
    <r>
      <rPr>
        <sz val="11"/>
        <color rgb="FF000000"/>
        <rFont val="Arial"/>
        <family val="0"/>
        <charset val="1"/>
      </rPr>
      <t xml:space="preserve">mould_box + </t>
    </r>
    <r>
      <rPr>
        <sz val="11"/>
        <color rgb="FF000000"/>
        <rFont val="Noto Sans CJK SC"/>
        <family val="2"/>
      </rPr>
      <t xml:space="preserve">다리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절개 모형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세트</t>
    </r>
  </si>
  <si>
    <r>
      <rPr>
        <sz val="11"/>
        <color rgb="FF000000"/>
        <rFont val="Noto Sans CJK SC"/>
        <family val="2"/>
      </rPr>
      <t xml:space="preserve">피팅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튜빙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잡자재</t>
    </r>
  </si>
  <si>
    <r>
      <rPr>
        <sz val="11"/>
        <color rgb="FF000000"/>
        <rFont val="Arial"/>
        <family val="0"/>
        <charset val="1"/>
      </rPr>
      <t xml:space="preserve">₩/</t>
    </r>
    <r>
      <rPr>
        <sz val="11"/>
        <color rgb="FF000000"/>
        <rFont val="Noto Sans CJK SC"/>
        <family val="2"/>
      </rPr>
      <t xml:space="preserve">팬텀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</si>
  <si>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3/4″·5/8″ </t>
    </r>
    <r>
      <rPr>
        <sz val="11"/>
        <color rgb="FF000000"/>
        <rFont val="Noto Sans CJK SC"/>
        <family val="2"/>
      </rPr>
      <t xml:space="preserve">바브 피팅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튜빙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이형제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진공 탈포 소모품</t>
    </r>
  </si>
  <si>
    <r>
      <rPr>
        <sz val="11"/>
        <color rgb="FF000000"/>
        <rFont val="Noto Sans CJK SC"/>
        <family val="2"/>
      </rPr>
      <t xml:space="preserve">팬텀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개 재료비 합계</t>
    </r>
  </si>
  <si>
    <t xml:space="preserve">₩</t>
  </si>
  <si>
    <t xml:space="preserve">→ 위 항목의 합</t>
  </si>
  <si>
    <r>
      <rPr>
        <b val="true"/>
        <sz val="11"/>
        <color rgb="FF000000"/>
        <rFont val="Arial"/>
        <family val="0"/>
        <charset val="1"/>
      </rPr>
      <t xml:space="preserve">3. </t>
    </r>
    <r>
      <rPr>
        <b val="true"/>
        <sz val="11"/>
        <color rgb="FF000000"/>
        <rFont val="Noto Sans CJK SC"/>
        <family val="2"/>
      </rPr>
      <t xml:space="preserve">장비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감가상각 → 시간</t>
    </r>
    <r>
      <rPr>
        <b val="true"/>
        <sz val="11"/>
        <color rgb="FF000000"/>
        <rFont val="Arial"/>
        <family val="0"/>
        <charset val="1"/>
      </rPr>
      <t xml:space="preserve">/</t>
    </r>
    <r>
      <rPr>
        <b val="true"/>
        <sz val="11"/>
        <color rgb="FF000000"/>
        <rFont val="Noto Sans CJK SC"/>
        <family val="2"/>
      </rPr>
      <t xml:space="preserve">주 단위 원가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</si>
  <si>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FDM </t>
    </r>
    <r>
      <rPr>
        <sz val="11"/>
        <color rgb="FF000000"/>
        <rFont val="Noto Sans CJK SC"/>
        <family val="2"/>
      </rPr>
      <t xml:space="preserve">프린터 가격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</si>
  <si>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PVA </t>
    </r>
    <r>
      <rPr>
        <sz val="11"/>
        <color rgb="FF000000"/>
        <rFont val="Noto Sans CJK SC"/>
        <family val="2"/>
      </rPr>
      <t xml:space="preserve">듀얼 노즐급</t>
    </r>
  </si>
  <si>
    <r>
      <rPr>
        <sz val="11"/>
        <color rgb="FF000000"/>
        <rFont val="Noto Sans CJK SC"/>
        <family val="2"/>
      </rPr>
      <t xml:space="preserve">프린터 수명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가동 시간</t>
    </r>
    <r>
      <rPr>
        <sz val="11"/>
        <color rgb="FF000000"/>
        <rFont val="Arial"/>
        <family val="0"/>
        <charset val="1"/>
      </rPr>
      <t xml:space="preserve">)</t>
    </r>
  </si>
  <si>
    <t xml:space="preserve">h</t>
  </si>
  <si>
    <t xml:space="preserve">프린터 시간당 원가</t>
  </si>
  <si>
    <r>
      <rPr>
        <sz val="11"/>
        <color rgb="FF000000"/>
        <rFont val="Noto Sans CJK SC"/>
        <family val="2"/>
      </rPr>
      <t xml:space="preserve">→ 가격 </t>
    </r>
    <r>
      <rPr>
        <sz val="11"/>
        <color rgb="FF000000"/>
        <rFont val="Arial"/>
        <family val="0"/>
        <charset val="1"/>
      </rPr>
      <t xml:space="preserve">÷ </t>
    </r>
    <r>
      <rPr>
        <sz val="11"/>
        <color rgb="FF000000"/>
        <rFont val="Noto Sans CJK SC"/>
        <family val="2"/>
      </rPr>
      <t xml:space="preserve">수명</t>
    </r>
  </si>
  <si>
    <t xml:space="preserve">워크스테이션 가격</t>
  </si>
  <si>
    <r>
      <rPr>
        <sz val="11"/>
        <color rgb="FF000000"/>
        <rFont val="Arial"/>
        <family val="0"/>
        <charset val="1"/>
      </rPr>
      <t xml:space="preserve">RTX 3060 / 32 GB </t>
    </r>
    <r>
      <rPr>
        <sz val="11"/>
        <color rgb="FF000000"/>
        <rFont val="Noto Sans CJK SC"/>
        <family val="2"/>
      </rPr>
      <t xml:space="preserve">급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사용자 보유</t>
    </r>
    <r>
      <rPr>
        <sz val="11"/>
        <color rgb="FF000000"/>
        <rFont val="Arial"/>
        <family val="0"/>
        <charset val="1"/>
      </rPr>
      <t xml:space="preserve">)</t>
    </r>
  </si>
  <si>
    <t xml:space="preserve">워크스테이션 수명</t>
  </si>
  <si>
    <t xml:space="preserve">년</t>
  </si>
  <si>
    <t xml:space="preserve">워크스테이션 연 가동 시간</t>
  </si>
  <si>
    <t xml:space="preserve">계산 시간당 원가</t>
  </si>
  <si>
    <r>
      <rPr>
        <sz val="11"/>
        <color rgb="FF000000"/>
        <rFont val="Noto Sans CJK SC"/>
        <family val="2"/>
      </rPr>
      <t xml:space="preserve">→ 가격 </t>
    </r>
    <r>
      <rPr>
        <sz val="11"/>
        <color rgb="FF000000"/>
        <rFont val="Arial"/>
        <family val="0"/>
        <charset val="1"/>
      </rPr>
      <t xml:space="preserve">÷ (</t>
    </r>
    <r>
      <rPr>
        <sz val="11"/>
        <color rgb="FF000000"/>
        <rFont val="Noto Sans CJK SC"/>
        <family val="2"/>
      </rPr>
      <t xml:space="preserve">수명 </t>
    </r>
    <r>
      <rPr>
        <sz val="11"/>
        <color rgb="FF000000"/>
        <rFont val="Arial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연 가동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</si>
  <si>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펄스 듀플리케이터 시스템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펌프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센서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유량계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</si>
  <si>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상용 심장 유동 벤치 시스템 </t>
    </r>
    <r>
      <rPr>
        <sz val="11"/>
        <color rgb="FF000000"/>
        <rFont val="Arial"/>
        <family val="0"/>
        <charset val="1"/>
      </rPr>
      <t xml:space="preserve">1~3</t>
    </r>
    <r>
      <rPr>
        <sz val="11"/>
        <color rgb="FF000000"/>
        <rFont val="Noto Sans CJK SC"/>
        <family val="2"/>
      </rPr>
      <t xml:space="preserve">억 대역</t>
    </r>
    <r>
      <rPr>
        <sz val="11"/>
        <color rgb="FF000000"/>
        <rFont val="Arial"/>
        <family val="0"/>
        <charset val="1"/>
      </rPr>
      <t xml:space="preserve">. B </t>
    </r>
    <r>
      <rPr>
        <sz val="11"/>
        <color rgb="FF000000"/>
        <rFont val="Noto Sans CJK SC"/>
        <family val="2"/>
      </rPr>
      <t xml:space="preserve">형태에만 필요</t>
    </r>
  </si>
  <si>
    <t xml:space="preserve">벤치 수명</t>
  </si>
  <si>
    <t xml:space="preserve">벤치 연 가동 주수</t>
  </si>
  <si>
    <r>
      <rPr>
        <sz val="11"/>
        <color rgb="FF000000"/>
        <rFont val="Noto Sans CJK SC"/>
        <family val="2"/>
      </rPr>
      <t xml:space="preserve">주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년</t>
    </r>
  </si>
  <si>
    <r>
      <rPr>
        <sz val="11"/>
        <color rgb="FF000000"/>
        <rFont val="Noto Sans CJK SC"/>
        <family val="2"/>
      </rPr>
      <t xml:space="preserve">벤치 주당 원가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감가상각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</si>
  <si>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₩/</t>
    </r>
    <r>
      <rPr>
        <sz val="11"/>
        <color rgb="FF000000"/>
        <rFont val="Noto Sans CJK SC"/>
        <family val="2"/>
      </rPr>
      <t xml:space="preserve">주</t>
    </r>
  </si>
  <si>
    <r>
      <rPr>
        <sz val="11"/>
        <color rgb="FF000000"/>
        <rFont val="Noto Sans CJK SC"/>
        <family val="2"/>
      </rPr>
      <t xml:space="preserve">→ 가격 </t>
    </r>
    <r>
      <rPr>
        <sz val="11"/>
        <color rgb="FF000000"/>
        <rFont val="Arial"/>
        <family val="0"/>
        <charset val="1"/>
      </rPr>
      <t xml:space="preserve">÷ (</t>
    </r>
    <r>
      <rPr>
        <sz val="11"/>
        <color rgb="FF000000"/>
        <rFont val="Noto Sans CJK SC"/>
        <family val="2"/>
      </rPr>
      <t xml:space="preserve">수명 </t>
    </r>
    <r>
      <rPr>
        <sz val="11"/>
        <color rgb="FF000000"/>
        <rFont val="Arial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연 가동 주수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</si>
  <si>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4. </t>
    </r>
    <r>
      <rPr>
        <b val="true"/>
        <sz val="11"/>
        <color rgb="FF000000"/>
        <rFont val="Noto Sans CJK SC"/>
        <family val="2"/>
      </rPr>
      <t xml:space="preserve">간접비</t>
    </r>
    <r>
      <rPr>
        <b val="true"/>
        <sz val="11"/>
        <color rgb="FF000000"/>
        <rFont val="Arial"/>
        <family val="0"/>
        <charset val="1"/>
      </rPr>
      <t xml:space="preserve">·</t>
    </r>
    <r>
      <rPr>
        <b val="true"/>
        <sz val="11"/>
        <color rgb="FF000000"/>
        <rFont val="Noto Sans CJK SC"/>
        <family val="2"/>
      </rPr>
      <t xml:space="preserve">예비비</t>
    </r>
  </si>
  <si>
    <r>
      <rPr>
        <sz val="11"/>
        <color rgb="FF000000"/>
        <rFont val="Noto Sans CJK SC"/>
        <family val="2"/>
      </rPr>
      <t xml:space="preserve">간접비율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직접인건비 대비</t>
    </r>
    <r>
      <rPr>
        <sz val="11"/>
        <color rgb="FF000000"/>
        <rFont val="Arial"/>
        <family val="0"/>
        <charset val="1"/>
      </rPr>
      <t xml:space="preserve">)</t>
    </r>
  </si>
  <si>
    <t xml:space="preserve">%</t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</si>
  <si>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공간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행정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소프트웨어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보험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대학 산학과제 간접비 </t>
    </r>
    <r>
      <rPr>
        <sz val="11"/>
        <color rgb="FF000000"/>
        <rFont val="Arial"/>
        <family val="0"/>
        <charset val="1"/>
      </rPr>
      <t xml:space="preserve">15~25%</t>
    </r>
    <r>
      <rPr>
        <sz val="11"/>
        <color rgb="FF000000"/>
        <rFont val="Noto Sans CJK SC"/>
        <family val="2"/>
      </rPr>
      <t xml:space="preserve">와 유사</t>
    </r>
  </si>
  <si>
    <r>
      <rPr>
        <sz val="11"/>
        <color rgb="FF000000"/>
        <rFont val="Noto Sans CJK SC"/>
        <family val="2"/>
      </rPr>
      <t xml:space="preserve">예비비율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직접원가 대비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</si>
  <si>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재작업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출력 실패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재캐스팅</t>
    </r>
  </si>
  <si>
    <r>
      <rPr>
        <b val="true"/>
        <sz val="11"/>
        <color rgb="FF000000"/>
        <rFont val="Arial"/>
        <family val="0"/>
        <charset val="1"/>
      </rPr>
      <t xml:space="preserve">5. </t>
    </r>
    <r>
      <rPr>
        <b val="true"/>
        <sz val="11"/>
        <color rgb="FF000000"/>
        <rFont val="Noto Sans CJK SC"/>
        <family val="2"/>
      </rPr>
      <t xml:space="preserve">가격</t>
    </r>
    <r>
      <rPr>
        <b val="true"/>
        <sz val="11"/>
        <color rgb="FF000000"/>
        <rFont val="Arial"/>
        <family val="0"/>
        <charset val="1"/>
      </rPr>
      <t xml:space="preserve">·</t>
    </r>
    <r>
      <rPr>
        <b val="true"/>
        <sz val="11"/>
        <color rgb="FF000000"/>
        <rFont val="Noto Sans CJK SC"/>
        <family val="2"/>
      </rPr>
      <t xml:space="preserve">규모 레버 — </t>
    </r>
    <r>
      <rPr>
        <b val="true"/>
        <sz val="11"/>
        <color rgb="FF000000"/>
        <rFont val="Arial"/>
        <family val="0"/>
        <charset val="1"/>
      </rPr>
      <t xml:space="preserve">A. </t>
    </r>
    <r>
      <rPr>
        <b val="true"/>
        <sz val="11"/>
        <color rgb="FF000000"/>
        <rFont val="Noto Sans CJK SC"/>
        <family val="2"/>
      </rPr>
      <t xml:space="preserve">산학 수탁 과제</t>
    </r>
  </si>
  <si>
    <r>
      <rPr>
        <sz val="11"/>
        <color rgb="FF000000"/>
        <rFont val="Arial"/>
        <family val="0"/>
        <charset val="1"/>
      </rPr>
      <t xml:space="preserve">A </t>
    </r>
    <r>
      <rPr>
        <sz val="11"/>
        <color rgb="FF000000"/>
        <rFont val="Noto Sans CJK SC"/>
        <family val="2"/>
      </rPr>
      <t xml:space="preserve">과제 단가</t>
    </r>
  </si>
  <si>
    <r>
      <rPr>
        <sz val="11"/>
        <color rgb="FF000000"/>
        <rFont val="Arial"/>
        <family val="0"/>
        <charset val="1"/>
      </rPr>
      <t xml:space="preserve">₩/</t>
    </r>
    <r>
      <rPr>
        <sz val="11"/>
        <color rgb="FF000000"/>
        <rFont val="Noto Sans CJK SC"/>
        <family val="2"/>
      </rPr>
      <t xml:space="preserve">과제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</si>
  <si>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국내 산학 과제 </t>
    </r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천만</t>
    </r>
    <r>
      <rPr>
        <sz val="11"/>
        <color rgb="FF000000"/>
        <rFont val="Arial"/>
        <family val="0"/>
        <charset val="1"/>
      </rPr>
      <t xml:space="preserve">~5</t>
    </r>
    <r>
      <rPr>
        <sz val="11"/>
        <color rgb="FF000000"/>
        <rFont val="Noto Sans CJK SC"/>
        <family val="2"/>
      </rPr>
      <t xml:space="preserve">천만 대역</t>
    </r>
  </si>
  <si>
    <r>
      <rPr>
        <sz val="11"/>
        <color rgb="FF000000"/>
        <rFont val="Arial"/>
        <family val="0"/>
        <charset val="1"/>
      </rPr>
      <t xml:space="preserve">A </t>
    </r>
    <r>
      <rPr>
        <sz val="11"/>
        <color rgb="FF000000"/>
        <rFont val="Noto Sans CJK SC"/>
        <family val="2"/>
      </rPr>
      <t xml:space="preserve">과제당 환자 케이스 수</t>
    </r>
  </si>
  <si>
    <t xml:space="preserve">건</t>
  </si>
  <si>
    <r>
      <rPr>
        <sz val="11"/>
        <color rgb="FF000000"/>
        <rFont val="Arial"/>
        <family val="0"/>
        <charset val="1"/>
      </rPr>
      <t xml:space="preserve">A </t>
    </r>
    <r>
      <rPr>
        <sz val="11"/>
        <color rgb="FF000000"/>
        <rFont val="Noto Sans CJK SC"/>
        <family val="2"/>
      </rPr>
      <t xml:space="preserve">과제당 비반복 개발</t>
    </r>
    <r>
      <rPr>
        <sz val="11"/>
        <color rgb="FF000000"/>
        <rFont val="Arial"/>
        <family val="0"/>
        <charset val="1"/>
      </rPr>
      <t xml:space="preserve">(NRE) </t>
    </r>
    <r>
      <rPr>
        <sz val="11"/>
        <color rgb="FF000000"/>
        <rFont val="Noto Sans CJK SC"/>
        <family val="2"/>
      </rPr>
      <t xml:space="preserve">시간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</si>
  <si>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기기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질문에 맞춘 파이프라인 개조</t>
    </r>
  </si>
  <si>
    <r>
      <rPr>
        <sz val="11"/>
        <color rgb="FF000000"/>
        <rFont val="Arial"/>
        <family val="0"/>
        <charset val="1"/>
      </rPr>
      <t xml:space="preserve">A </t>
    </r>
    <r>
      <rPr>
        <sz val="11"/>
        <color rgb="FF000000"/>
        <rFont val="Noto Sans CJK SC"/>
        <family val="2"/>
      </rPr>
      <t xml:space="preserve">과제당 미팅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보고</t>
    </r>
    <r>
      <rPr>
        <sz val="11"/>
        <color rgb="FF000000"/>
        <rFont val="Arial"/>
        <family val="0"/>
        <charset val="1"/>
      </rPr>
      <t xml:space="preserve">·PM </t>
    </r>
    <r>
      <rPr>
        <sz val="11"/>
        <color rgb="FF000000"/>
        <rFont val="Noto Sans CJK SC"/>
        <family val="2"/>
      </rPr>
      <t xml:space="preserve">시간</t>
    </r>
  </si>
  <si>
    <r>
      <rPr>
        <b val="true"/>
        <sz val="11"/>
        <color rgb="FF000000"/>
        <rFont val="Arial"/>
        <family val="0"/>
        <charset val="1"/>
      </rPr>
      <t xml:space="preserve">6. </t>
    </r>
    <r>
      <rPr>
        <b val="true"/>
        <sz val="11"/>
        <color rgb="FF000000"/>
        <rFont val="Noto Sans CJK SC"/>
        <family val="2"/>
      </rPr>
      <t xml:space="preserve">가격</t>
    </r>
    <r>
      <rPr>
        <b val="true"/>
        <sz val="11"/>
        <color rgb="FF000000"/>
        <rFont val="Arial"/>
        <family val="0"/>
        <charset val="1"/>
      </rPr>
      <t xml:space="preserve">·</t>
    </r>
    <r>
      <rPr>
        <b val="true"/>
        <sz val="11"/>
        <color rgb="FF000000"/>
        <rFont val="Noto Sans CJK SC"/>
        <family val="2"/>
      </rPr>
      <t xml:space="preserve">규모 레버 — </t>
    </r>
    <r>
      <rPr>
        <b val="true"/>
        <sz val="11"/>
        <color rgb="FF000000"/>
        <rFont val="Arial"/>
        <family val="0"/>
        <charset val="1"/>
      </rPr>
      <t xml:space="preserve">B. V&amp;V40 </t>
    </r>
    <r>
      <rPr>
        <b val="true"/>
        <sz val="11"/>
        <color rgb="FF000000"/>
        <rFont val="Noto Sans CJK SC"/>
        <family val="2"/>
      </rPr>
      <t xml:space="preserve">규제 근거 패키지</t>
    </r>
  </si>
  <si>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프로그램 단가</t>
    </r>
  </si>
  <si>
    <r>
      <rPr>
        <sz val="11"/>
        <color rgb="FF000000"/>
        <rFont val="Arial"/>
        <family val="0"/>
        <charset val="1"/>
      </rPr>
      <t xml:space="preserve">₩/</t>
    </r>
    <r>
      <rPr>
        <sz val="11"/>
        <color rgb="FF000000"/>
        <rFont val="Noto Sans CJK SC"/>
        <family val="2"/>
      </rPr>
      <t xml:space="preserve">프로그램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</si>
  <si>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해외 </t>
    </r>
    <r>
      <rPr>
        <sz val="11"/>
        <color rgb="FF000000"/>
        <rFont val="Arial"/>
        <family val="0"/>
        <charset val="1"/>
      </rPr>
      <t xml:space="preserve">CRO </t>
    </r>
    <r>
      <rPr>
        <sz val="11"/>
        <color rgb="FF000000"/>
        <rFont val="Noto Sans CJK SC"/>
        <family val="2"/>
      </rPr>
      <t xml:space="preserve">시뮬레이션 신뢰성 패키지</t>
    </r>
    <r>
      <rPr>
        <sz val="11"/>
        <color rgb="FF000000"/>
        <rFont val="Arial"/>
        <family val="0"/>
        <charset val="1"/>
      </rPr>
      <t xml:space="preserve">·ISO 5840</t>
    </r>
    <r>
      <rPr>
        <sz val="11"/>
        <color rgb="FF000000"/>
        <rFont val="Noto Sans CJK SC"/>
        <family val="2"/>
      </rPr>
      <t xml:space="preserve">급 벤치 캠페인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억</t>
    </r>
    <r>
      <rPr>
        <sz val="11"/>
        <color rgb="FF000000"/>
        <rFont val="Arial"/>
        <family val="0"/>
        <charset val="1"/>
      </rPr>
      <t xml:space="preserve">~5</t>
    </r>
    <r>
      <rPr>
        <sz val="11"/>
        <color rgb="FF000000"/>
        <rFont val="Noto Sans CJK SC"/>
        <family val="2"/>
      </rPr>
      <t xml:space="preserve">억 대역</t>
    </r>
  </si>
  <si>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프로그램당 환자 형상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팬텀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수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</si>
  <si>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형상 변이 커버</t>
    </r>
  </si>
  <si>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시니어</t>
    </r>
    <r>
      <rPr>
        <sz val="11"/>
        <color rgb="FF000000"/>
        <rFont val="Arial"/>
        <family val="0"/>
        <charset val="1"/>
      </rPr>
      <t xml:space="preserve">/PI </t>
    </r>
    <r>
      <rPr>
        <sz val="11"/>
        <color rgb="FF000000"/>
        <rFont val="Noto Sans CJK SC"/>
        <family val="2"/>
      </rPr>
      <t xml:space="preserve">시간</t>
    </r>
  </si>
  <si>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벤치 점유 주수</t>
    </r>
  </si>
  <si>
    <t xml:space="preserve">주</t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</si>
  <si>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셋업 </t>
    </r>
    <r>
      <rPr>
        <sz val="11"/>
        <color rgb="FF000000"/>
        <rFont val="Arial"/>
        <family val="0"/>
        <charset val="1"/>
      </rPr>
      <t xml:space="preserve">1 + </t>
    </r>
    <r>
      <rPr>
        <sz val="11"/>
        <color rgb="FF000000"/>
        <rFont val="Noto Sans CJK SC"/>
        <family val="2"/>
      </rPr>
      <t xml:space="preserve">시험 </t>
    </r>
    <r>
      <rPr>
        <sz val="11"/>
        <color rgb="FF000000"/>
        <rFont val="Arial"/>
        <family val="0"/>
        <charset val="1"/>
      </rPr>
      <t xml:space="preserve">4 + </t>
    </r>
    <r>
      <rPr>
        <sz val="11"/>
        <color rgb="FF000000"/>
        <rFont val="Noto Sans CJK SC"/>
        <family val="2"/>
      </rPr>
      <t xml:space="preserve">재시험 </t>
    </r>
    <r>
      <rPr>
        <sz val="11"/>
        <color rgb="FF000000"/>
        <rFont val="Arial"/>
        <family val="0"/>
        <charset val="1"/>
      </rPr>
      <t xml:space="preserve">1</t>
    </r>
  </si>
  <si>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규제 자문 외주</t>
    </r>
    <r>
      <rPr>
        <sz val="11"/>
        <color rgb="FF000000"/>
        <rFont val="Arial"/>
        <family val="0"/>
        <charset val="1"/>
      </rPr>
      <t xml:space="preserve">(V&amp;V40 </t>
    </r>
    <r>
      <rPr>
        <sz val="11"/>
        <color rgb="FF000000"/>
        <rFont val="Noto Sans CJK SC"/>
        <family val="2"/>
      </rPr>
      <t xml:space="preserve">검토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</si>
  <si>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벤치 소모품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혈액 모사액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튜빙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센서 교정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</si>
  <si>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7. </t>
    </r>
    <r>
      <rPr>
        <b val="true"/>
        <sz val="11"/>
        <color rgb="FF000000"/>
        <rFont val="Noto Sans CJK SC"/>
        <family val="2"/>
      </rPr>
      <t xml:space="preserve">가격</t>
    </r>
    <r>
      <rPr>
        <b val="true"/>
        <sz val="11"/>
        <color rgb="FF000000"/>
        <rFont val="Arial"/>
        <family val="0"/>
        <charset val="1"/>
      </rPr>
      <t xml:space="preserve">·</t>
    </r>
    <r>
      <rPr>
        <b val="true"/>
        <sz val="11"/>
        <color rgb="FF000000"/>
        <rFont val="Noto Sans CJK SC"/>
        <family val="2"/>
      </rPr>
      <t xml:space="preserve">규모 레버 — </t>
    </r>
    <r>
      <rPr>
        <b val="true"/>
        <sz val="11"/>
        <color rgb="FF000000"/>
        <rFont val="Arial"/>
        <family val="0"/>
        <charset val="1"/>
      </rPr>
      <t xml:space="preserve">C. </t>
    </r>
    <r>
      <rPr>
        <b val="true"/>
        <sz val="11"/>
        <color rgb="FF000000"/>
        <rFont val="Noto Sans CJK SC"/>
        <family val="2"/>
      </rPr>
      <t xml:space="preserve">케이스당 시술 계획 서비스</t>
    </r>
  </si>
  <si>
    <r>
      <rPr>
        <sz val="11"/>
        <color rgb="FF000000"/>
        <rFont val="Arial"/>
        <family val="0"/>
        <charset val="1"/>
      </rPr>
      <t xml:space="preserve">C </t>
    </r>
    <r>
      <rPr>
        <sz val="11"/>
        <color rgb="FF000000"/>
        <rFont val="Noto Sans CJK SC"/>
        <family val="2"/>
      </rPr>
      <t xml:space="preserve">케이스 단가</t>
    </r>
  </si>
  <si>
    <r>
      <rPr>
        <sz val="11"/>
        <color rgb="FF000000"/>
        <rFont val="Arial"/>
        <family val="0"/>
        <charset val="1"/>
      </rPr>
      <t xml:space="preserve">₩/</t>
    </r>
    <r>
      <rPr>
        <sz val="11"/>
        <color rgb="FF000000"/>
        <rFont val="Noto Sans CJK SC"/>
        <family val="2"/>
      </rPr>
      <t xml:space="preserve">건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</si>
  <si>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FEops·HeartFlow</t>
    </r>
    <r>
      <rPr>
        <sz val="11"/>
        <color rgb="FF000000"/>
        <rFont val="Noto Sans CJK SC"/>
        <family val="2"/>
      </rPr>
      <t xml:space="preserve">류 케이스당 과금 대역</t>
    </r>
    <r>
      <rPr>
        <sz val="11"/>
        <color rgb="FF000000"/>
        <rFont val="Arial"/>
        <family val="0"/>
        <charset val="1"/>
      </rPr>
      <t xml:space="preserve">(50</t>
    </r>
    <r>
      <rPr>
        <sz val="11"/>
        <color rgb="FF000000"/>
        <rFont val="Noto Sans CJK SC"/>
        <family val="2"/>
      </rPr>
      <t xml:space="preserve">만</t>
    </r>
    <r>
      <rPr>
        <sz val="11"/>
        <color rgb="FF000000"/>
        <rFont val="Arial"/>
        <family val="0"/>
        <charset val="1"/>
      </rPr>
      <t xml:space="preserve">~150</t>
    </r>
    <r>
      <rPr>
        <sz val="11"/>
        <color rgb="FF000000"/>
        <rFont val="Noto Sans CJK SC"/>
        <family val="2"/>
      </rPr>
      <t xml:space="preserve">만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</si>
  <si>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C </t>
    </r>
    <r>
      <rPr>
        <sz val="11"/>
        <color rgb="FF000000"/>
        <rFont val="Noto Sans CJK SC"/>
        <family val="2"/>
      </rPr>
      <t xml:space="preserve">케이스당 엔지니어 검토 시간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</si>
  <si>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파이프라인 자동화 후 검토</t>
    </r>
    <r>
      <rPr>
        <sz val="11"/>
        <color rgb="FF000000"/>
        <rFont val="Arial"/>
        <family val="0"/>
        <charset val="1"/>
      </rPr>
      <t xml:space="preserve">·QA</t>
    </r>
    <r>
      <rPr>
        <sz val="11"/>
        <color rgb="FF000000"/>
        <rFont val="Noto Sans CJK SC"/>
        <family val="2"/>
      </rPr>
      <t xml:space="preserve">만</t>
    </r>
  </si>
  <si>
    <r>
      <rPr>
        <sz val="11"/>
        <color rgb="FF000000"/>
        <rFont val="Arial"/>
        <family val="0"/>
        <charset val="1"/>
      </rPr>
      <t xml:space="preserve">C </t>
    </r>
    <r>
      <rPr>
        <sz val="11"/>
        <color rgb="FF000000"/>
        <rFont val="Noto Sans CJK SC"/>
        <family val="2"/>
      </rPr>
      <t xml:space="preserve">케이스당 클라우드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스토리지</t>
    </r>
  </si>
  <si>
    <r>
      <rPr>
        <sz val="11"/>
        <color rgb="FF000000"/>
        <rFont val="Arial"/>
        <family val="0"/>
        <charset val="1"/>
      </rPr>
      <t xml:space="preserve">C </t>
    </r>
    <r>
      <rPr>
        <sz val="11"/>
        <color rgb="FF000000"/>
        <rFont val="Noto Sans CJK SC"/>
        <family val="2"/>
      </rPr>
      <t xml:space="preserve">연간 고정비</t>
    </r>
    <r>
      <rPr>
        <sz val="11"/>
        <color rgb="FF000000"/>
        <rFont val="Arial"/>
        <family val="0"/>
        <charset val="1"/>
      </rPr>
      <t xml:space="preserve">(SaMD </t>
    </r>
    <r>
      <rPr>
        <sz val="11"/>
        <color rgb="FF000000"/>
        <rFont val="Noto Sans CJK SC"/>
        <family val="2"/>
      </rPr>
      <t xml:space="preserve">유지</t>
    </r>
    <r>
      <rPr>
        <sz val="11"/>
        <color rgb="FF000000"/>
        <rFont val="Arial"/>
        <family val="0"/>
        <charset val="1"/>
      </rPr>
      <t xml:space="preserve">·QMS·</t>
    </r>
    <r>
      <rPr>
        <sz val="11"/>
        <color rgb="FF000000"/>
        <rFont val="Noto Sans CJK SC"/>
        <family val="2"/>
      </rPr>
      <t xml:space="preserve">배상책임보험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규제 대응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</si>
  <si>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인허가 유지 체계 최소 규모</t>
    </r>
  </si>
  <si>
    <r>
      <rPr>
        <sz val="11"/>
        <color rgb="FF000000"/>
        <rFont val="Arial"/>
        <family val="0"/>
        <charset val="1"/>
      </rPr>
      <t xml:space="preserve">C </t>
    </r>
    <r>
      <rPr>
        <sz val="11"/>
        <color rgb="FF000000"/>
        <rFont val="Noto Sans CJK SC"/>
        <family val="2"/>
      </rPr>
      <t xml:space="preserve">초기 인허가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임상근거 투자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</si>
  <si>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식약처 </t>
    </r>
    <r>
      <rPr>
        <sz val="11"/>
        <color rgb="FF000000"/>
        <rFont val="Arial"/>
        <family val="0"/>
        <charset val="1"/>
      </rPr>
      <t xml:space="preserve">SaMD + </t>
    </r>
    <r>
      <rPr>
        <sz val="11"/>
        <color rgb="FF000000"/>
        <rFont val="Noto Sans CJK SC"/>
        <family val="2"/>
      </rPr>
      <t xml:space="preserve">임상 근거</t>
    </r>
    <r>
      <rPr>
        <sz val="11"/>
        <color rgb="FF000000"/>
        <rFont val="Arial"/>
        <family val="0"/>
        <charset val="1"/>
      </rPr>
      <t xml:space="preserve">. 5</t>
    </r>
    <r>
      <rPr>
        <sz val="11"/>
        <color rgb="FF000000"/>
        <rFont val="Noto Sans CJK SC"/>
        <family val="2"/>
      </rPr>
      <t xml:space="preserve">년 상각</t>
    </r>
  </si>
  <si>
    <r>
      <rPr>
        <sz val="11"/>
        <color rgb="FF000000"/>
        <rFont val="Arial"/>
        <family val="0"/>
        <charset val="1"/>
      </rPr>
      <t xml:space="preserve">C </t>
    </r>
    <r>
      <rPr>
        <sz val="11"/>
        <color rgb="FF000000"/>
        <rFont val="Noto Sans CJK SC"/>
        <family val="2"/>
      </rPr>
      <t xml:space="preserve">초기 투자 상각 기간</t>
    </r>
  </si>
  <si>
    <r>
      <rPr>
        <b val="true"/>
        <sz val="13"/>
        <rFont val="Arial"/>
        <family val="0"/>
        <charset val="1"/>
      </rPr>
      <t xml:space="preserve">A. </t>
    </r>
    <r>
      <rPr>
        <b val="true"/>
        <sz val="13"/>
        <rFont val="Noto Sans CJK SC"/>
        <family val="2"/>
      </rPr>
      <t xml:space="preserve">산학 수탁 — 환자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케이스 단위원가 → 과제 단위 원가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마진</t>
    </r>
  </si>
  <si>
    <r>
      <rPr>
        <sz val="11"/>
        <color rgb="FF000000"/>
        <rFont val="Noto Sans CJK SC"/>
        <family val="2"/>
      </rPr>
      <t xml:space="preserve">케이스 </t>
    </r>
    <r>
      <rPr>
        <sz val="11"/>
        <color rgb="FF000000"/>
        <rFont val="Arial"/>
        <family val="0"/>
        <charset val="1"/>
      </rPr>
      <t xml:space="preserve">= CT → </t>
    </r>
    <r>
      <rPr>
        <sz val="11"/>
        <color rgb="FF000000"/>
        <rFont val="Noto Sans CJK SC"/>
        <family val="2"/>
      </rPr>
      <t xml:space="preserve">형상 파이프라인 → 팬텀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개 → 강체벽 </t>
    </r>
    <r>
      <rPr>
        <sz val="11"/>
        <color rgb="FF000000"/>
        <rFont val="Arial"/>
        <family val="0"/>
        <charset val="1"/>
      </rPr>
      <t xml:space="preserve">CFD → </t>
    </r>
    <r>
      <rPr>
        <sz val="11"/>
        <color rgb="FF000000"/>
        <rFont val="Noto Sans CJK SC"/>
        <family val="2"/>
      </rPr>
      <t xml:space="preserve">보고서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시간</t>
    </r>
    <r>
      <rPr>
        <sz val="11"/>
        <color rgb="FF000000"/>
        <rFont val="Arial"/>
        <family val="0"/>
        <charset val="1"/>
      </rPr>
      <t xml:space="preserve">(h)</t>
    </r>
    <r>
      <rPr>
        <sz val="11"/>
        <color rgb="FF000000"/>
        <rFont val="Noto Sans CJK SC"/>
        <family val="2"/>
      </rPr>
      <t xml:space="preserve">은 파란 입력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단가는 </t>
    </r>
    <r>
      <rPr>
        <sz val="11"/>
        <color rgb="FF000000"/>
        <rFont val="Arial"/>
        <family val="0"/>
        <charset val="1"/>
      </rPr>
      <t xml:space="preserve">Inputs </t>
    </r>
    <r>
      <rPr>
        <sz val="11"/>
        <color rgb="FF000000"/>
        <rFont val="Noto Sans CJK SC"/>
        <family val="2"/>
      </rPr>
      <t xml:space="preserve">참조</t>
    </r>
    <r>
      <rPr>
        <sz val="11"/>
        <color rgb="FF000000"/>
        <rFont val="Arial"/>
        <family val="0"/>
        <charset val="1"/>
      </rPr>
      <t xml:space="preserve">.</t>
    </r>
  </si>
  <si>
    <t xml:space="preserve">활동</t>
  </si>
  <si>
    <r>
      <rPr>
        <b val="true"/>
        <sz val="11"/>
        <color rgb="FFFFFFFF"/>
        <rFont val="Noto Sans CJK SC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</si>
  <si>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(₩/h)</t>
    </r>
  </si>
  <si>
    <r>
      <rPr>
        <b val="true"/>
        <sz val="11"/>
        <color rgb="FFFFFFFF"/>
        <rFont val="Noto Sans CJK SC"/>
        <family val="2"/>
      </rPr>
      <t xml:space="preserve">원가</t>
    </r>
    <r>
      <rPr>
        <b val="true"/>
        <sz val="11"/>
        <color rgb="FFFFFFFF"/>
        <rFont val="Arial"/>
        <family val="0"/>
        <charset val="1"/>
      </rPr>
      <t xml:space="preserve">(₩)</t>
    </r>
  </si>
  <si>
    <t xml:space="preserve">비고</t>
  </si>
  <si>
    <r>
      <rPr>
        <sz val="11"/>
        <color rgb="FF000000"/>
        <rFont val="Arial"/>
        <family val="0"/>
        <charset val="1"/>
      </rPr>
      <t xml:space="preserve">CT </t>
    </r>
    <r>
      <rPr>
        <sz val="11"/>
        <color rgb="FF000000"/>
        <rFont val="Noto Sans CJK SC"/>
        <family val="2"/>
      </rPr>
      <t xml:space="preserve">확보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익명화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품질 확인</t>
    </r>
  </si>
  <si>
    <r>
      <rPr>
        <sz val="11"/>
        <color rgb="FF000000"/>
        <rFont val="Noto Sans CJK SC"/>
        <family val="2"/>
      </rPr>
      <t xml:space="preserve">기관 </t>
    </r>
    <r>
      <rPr>
        <sz val="11"/>
        <color rgb="FF000000"/>
        <rFont val="Arial"/>
        <family val="0"/>
        <charset val="1"/>
      </rPr>
      <t xml:space="preserve">CT </t>
    </r>
    <r>
      <rPr>
        <sz val="11"/>
        <color rgb="FF000000"/>
        <rFont val="Noto Sans CJK SC"/>
        <family val="2"/>
      </rPr>
      <t xml:space="preserve">또는 공개 데이터</t>
    </r>
  </si>
  <si>
    <r>
      <rPr>
        <sz val="11"/>
        <color rgb="FF000000"/>
        <rFont val="Noto Sans CJK SC"/>
        <family val="2"/>
      </rPr>
      <t xml:space="preserve">세그멘테이션 정련</t>
    </r>
    <r>
      <rPr>
        <sz val="11"/>
        <color rgb="FF000000"/>
        <rFont val="Arial"/>
        <family val="0"/>
        <charset val="1"/>
      </rPr>
      <t xml:space="preserve">(CT </t>
    </r>
    <r>
      <rPr>
        <sz val="11"/>
        <color rgb="FF000000"/>
        <rFont val="Noto Sans CJK SC"/>
        <family val="2"/>
      </rPr>
      <t xml:space="preserve">재분할</t>
    </r>
    <r>
      <rPr>
        <sz val="11"/>
        <color rgb="FF000000"/>
        <rFont val="Arial"/>
        <family val="0"/>
        <charset val="1"/>
      </rPr>
      <t xml:space="preserve">·QA)</t>
    </r>
  </si>
  <si>
    <r>
      <rPr>
        <sz val="11"/>
        <color rgb="FF000000"/>
        <rFont val="Arial"/>
        <family val="0"/>
        <charset val="1"/>
      </rPr>
      <t xml:space="preserve">ct_refine_lv.py </t>
    </r>
    <r>
      <rPr>
        <sz val="11"/>
        <color rgb="FF000000"/>
        <rFont val="Noto Sans CJK SC"/>
        <family val="2"/>
      </rPr>
      <t xml:space="preserve">계열</t>
    </r>
    <r>
      <rPr>
        <sz val="11"/>
        <color rgb="FF000000"/>
        <rFont val="Arial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수동 보정 포함</t>
    </r>
  </si>
  <si>
    <r>
      <rPr>
        <sz val="11"/>
        <color rgb="FF000000"/>
        <rFont val="Noto Sans CJK SC"/>
        <family val="2"/>
      </rPr>
      <t xml:space="preserve">형상 파이프라인 실행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검증</t>
    </r>
    <r>
      <rPr>
        <sz val="11"/>
        <color rgb="FF000000"/>
        <rFont val="Arial"/>
        <family val="0"/>
        <charset val="1"/>
      </rPr>
      <t xml:space="preserve">(1~17</t>
    </r>
    <r>
      <rPr>
        <sz val="11"/>
        <color rgb="FF000000"/>
        <rFont val="Noto Sans CJK SC"/>
        <family val="2"/>
      </rPr>
      <t xml:space="preserve">단계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</si>
  <si>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PIPELINE.md; </t>
    </r>
    <r>
      <rPr>
        <sz val="11"/>
        <color rgb="FF000000"/>
        <rFont val="Noto Sans CJK SC"/>
        <family val="2"/>
      </rPr>
      <t xml:space="preserve">대부분 자동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검증 그림 확인</t>
    </r>
  </si>
  <si>
    <r>
      <rPr>
        <sz val="11"/>
        <color rgb="FF000000"/>
        <rFont val="Noto Sans CJK SC"/>
        <family val="2"/>
      </rPr>
      <t xml:space="preserve">팬텀 제작 감독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출력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주형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경화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코어 용해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</si>
  <si>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실제 경과시간은 </t>
    </r>
    <r>
      <rPr>
        <sz val="11"/>
        <color rgb="FF000000"/>
        <rFont val="Arial"/>
        <family val="0"/>
        <charset val="1"/>
      </rPr>
      <t xml:space="preserve">3~4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투입시간만 계상</t>
    </r>
  </si>
  <si>
    <r>
      <rPr>
        <sz val="11"/>
        <color rgb="FF000000"/>
        <rFont val="Noto Sans CJK SC"/>
        <family val="2"/>
      </rPr>
      <t xml:space="preserve">팬텀 제작 보조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기술원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</si>
  <si>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출력 교체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탈포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세척</t>
    </r>
  </si>
  <si>
    <r>
      <rPr>
        <sz val="11"/>
        <color rgb="FF000000"/>
        <rFont val="Arial"/>
        <family val="0"/>
        <charset val="1"/>
      </rPr>
      <t xml:space="preserve">CFD </t>
    </r>
    <r>
      <rPr>
        <sz val="11"/>
        <color rgb="FF000000"/>
        <rFont val="Noto Sans CJK SC"/>
        <family val="2"/>
      </rPr>
      <t xml:space="preserve">케이스 설정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실행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후처리</t>
    </r>
  </si>
  <si>
    <r>
      <rPr>
        <sz val="11"/>
        <color rgb="FF000000"/>
        <rFont val="Arial"/>
        <family val="0"/>
        <charset val="1"/>
      </rPr>
      <t xml:space="preserve">OpenFOAM/svMultiPhysics </t>
    </r>
    <r>
      <rPr>
        <sz val="11"/>
        <color rgb="FF000000"/>
        <rFont val="Noto Sans CJK SC"/>
        <family val="2"/>
      </rPr>
      <t xml:space="preserve">강체벽</t>
    </r>
  </si>
  <si>
    <t xml:space="preserve">보고서 작성</t>
  </si>
  <si>
    <r>
      <rPr>
        <sz val="11"/>
        <color rgb="FF000000"/>
        <rFont val="Noto Sans CJK SC"/>
        <family val="2"/>
      </rPr>
      <t xml:space="preserve">형상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팬텀</t>
    </r>
    <r>
      <rPr>
        <sz val="11"/>
        <color rgb="FF000000"/>
        <rFont val="Arial"/>
        <family val="0"/>
        <charset val="1"/>
      </rPr>
      <t xml:space="preserve">·CFD </t>
    </r>
    <r>
      <rPr>
        <sz val="11"/>
        <color rgb="FF000000"/>
        <rFont val="Noto Sans CJK SC"/>
        <family val="2"/>
      </rPr>
      <t xml:space="preserve">결과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불확실성</t>
    </r>
  </si>
  <si>
    <r>
      <rPr>
        <sz val="11"/>
        <color rgb="FF000000"/>
        <rFont val="Arial"/>
        <family val="0"/>
        <charset val="1"/>
      </rPr>
      <t xml:space="preserve">PI </t>
    </r>
    <r>
      <rPr>
        <sz val="11"/>
        <color rgb="FF000000"/>
        <rFont val="Noto Sans CJK SC"/>
        <family val="2"/>
      </rPr>
      <t xml:space="preserve">검토</t>
    </r>
  </si>
  <si>
    <t xml:space="preserve">직접인건비 소계</t>
  </si>
  <si>
    <t xml:space="preserve">비인건비 항목</t>
  </si>
  <si>
    <t xml:space="preserve">수량</t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</si>
  <si>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</si>
  <si>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sz val="11"/>
        <color rgb="FF000000"/>
        <rFont val="Noto Sans CJK SC"/>
        <family val="2"/>
      </rPr>
      <t xml:space="preserve">팬텀 재료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실리콘</t>
    </r>
    <r>
      <rPr>
        <sz val="11"/>
        <color rgb="FF000000"/>
        <rFont val="Arial"/>
        <family val="0"/>
        <charset val="1"/>
      </rPr>
      <t xml:space="preserve">·PVA·PLA·</t>
    </r>
    <r>
      <rPr>
        <sz val="11"/>
        <color rgb="FF000000"/>
        <rFont val="Noto Sans CJK SC"/>
        <family val="2"/>
      </rPr>
      <t xml:space="preserve">피팅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</si>
  <si>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Inputs §2 </t>
    </r>
    <r>
      <rPr>
        <sz val="11"/>
        <color rgb="FF000000"/>
        <rFont val="Noto Sans CJK SC"/>
        <family val="2"/>
      </rPr>
      <t xml:space="preserve">합계</t>
    </r>
  </si>
  <si>
    <r>
      <rPr>
        <sz val="11"/>
        <color rgb="FF000000"/>
        <rFont val="Noto Sans CJK SC"/>
        <family val="2"/>
      </rPr>
      <t xml:space="preserve">프린터 가동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코어</t>
    </r>
    <r>
      <rPr>
        <sz val="11"/>
        <color rgb="FF000000"/>
        <rFont val="Arial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상자</t>
    </r>
    <r>
      <rPr>
        <sz val="11"/>
        <color rgb="FF000000"/>
        <rFont val="Arial"/>
        <family val="0"/>
        <charset val="1"/>
      </rPr>
      <t xml:space="preserve">+</t>
    </r>
    <r>
      <rPr>
        <sz val="11"/>
        <color rgb="FF000000"/>
        <rFont val="Noto Sans CJK SC"/>
        <family val="2"/>
      </rPr>
      <t xml:space="preserve">절개 모형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</si>
  <si>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출력 시간 </t>
    </r>
    <r>
      <rPr>
        <sz val="11"/>
        <color rgb="FF000000"/>
        <rFont val="Arial"/>
        <family val="0"/>
        <charset val="1"/>
      </rPr>
      <t xml:space="preserve">45 h</t>
    </r>
  </si>
  <si>
    <r>
      <rPr>
        <sz val="11"/>
        <color rgb="FF000000"/>
        <rFont val="Noto Sans CJK SC"/>
        <family val="2"/>
      </rPr>
      <t xml:space="preserve">계산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워크스테이션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가동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</si>
  <si>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CFD 3</t>
    </r>
    <r>
      <rPr>
        <sz val="11"/>
        <color rgb="FF000000"/>
        <rFont val="Noto Sans CJK SC"/>
        <family val="2"/>
      </rPr>
      <t xml:space="preserve">주기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메시</t>
    </r>
  </si>
  <si>
    <t xml:space="preserve">비인건비 소계</t>
  </si>
  <si>
    <r>
      <rPr>
        <b val="true"/>
        <sz val="11"/>
        <color rgb="FF000000"/>
        <rFont val="Noto Sans CJK SC"/>
        <family val="2"/>
      </rPr>
      <t xml:space="preserve">직접원가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인건비</t>
    </r>
    <r>
      <rPr>
        <b val="true"/>
        <sz val="11"/>
        <color rgb="FF000000"/>
        <rFont val="Arial"/>
        <family val="0"/>
        <charset val="1"/>
      </rPr>
      <t xml:space="preserve">+</t>
    </r>
    <r>
      <rPr>
        <b val="true"/>
        <sz val="11"/>
        <color rgb="FF000000"/>
        <rFont val="Noto Sans CJK SC"/>
        <family val="2"/>
      </rPr>
      <t xml:space="preserve">비인건비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</si>
  <si>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간접비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직접인건비 </t>
    </r>
    <r>
      <rPr>
        <sz val="11"/>
        <color rgb="FF000000"/>
        <rFont val="Arial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간접비율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</si>
  <si>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예비비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직접원가 </t>
    </r>
    <r>
      <rPr>
        <sz val="11"/>
        <color rgb="FF000000"/>
        <rFont val="Arial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예비비율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</si>
  <si>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케이스 </t>
    </r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건 매출원가 </t>
    </r>
    <r>
      <rPr>
        <b val="true"/>
        <sz val="11"/>
        <color rgb="FF000000"/>
        <rFont val="Arial"/>
        <family val="0"/>
        <charset val="1"/>
      </rPr>
      <t xml:space="preserve">(COGS)</t>
    </r>
  </si>
  <si>
    <r>
      <rPr>
        <b val="true"/>
        <sz val="11"/>
        <color rgb="FF000000"/>
        <rFont val="Noto Sans CJK SC"/>
        <family val="2"/>
      </rPr>
      <t xml:space="preserve">과제 단위 </t>
    </r>
    <r>
      <rPr>
        <b val="true"/>
        <sz val="11"/>
        <color rgb="FF000000"/>
        <rFont val="Arial"/>
        <family val="0"/>
        <charset val="1"/>
      </rPr>
      <t xml:space="preserve">(Inputs §5)</t>
    </r>
  </si>
  <si>
    <r>
      <rPr>
        <sz val="11"/>
        <color rgb="FF000000"/>
        <rFont val="Noto Sans CJK SC"/>
        <family val="2"/>
      </rPr>
      <t xml:space="preserve">케이스 원가 </t>
    </r>
    <r>
      <rPr>
        <sz val="11"/>
        <color rgb="FF000000"/>
        <rFont val="Arial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케이스 수</t>
    </r>
  </si>
  <si>
    <r>
      <rPr>
        <sz val="11"/>
        <color rgb="FF000000"/>
        <rFont val="Noto Sans CJK SC"/>
        <family val="2"/>
      </rPr>
      <t xml:space="preserve">비반복 개발</t>
    </r>
    <r>
      <rPr>
        <sz val="11"/>
        <color rgb="FF000000"/>
        <rFont val="Arial"/>
        <family val="0"/>
        <charset val="1"/>
      </rPr>
      <t xml:space="preserve">(NRE) </t>
    </r>
    <r>
      <rPr>
        <sz val="11"/>
        <color rgb="FF000000"/>
        <rFont val="Noto Sans CJK SC"/>
        <family val="2"/>
      </rPr>
      <t xml:space="preserve">인건비</t>
    </r>
  </si>
  <si>
    <t xml:space="preserve">간접비 포함 단가</t>
  </si>
  <si>
    <r>
      <rPr>
        <sz val="11"/>
        <color rgb="FF000000"/>
        <rFont val="Noto Sans CJK SC"/>
        <family val="2"/>
      </rPr>
      <t xml:space="preserve">미팅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보고</t>
    </r>
    <r>
      <rPr>
        <sz val="11"/>
        <color rgb="FF000000"/>
        <rFont val="Arial"/>
        <family val="0"/>
        <charset val="1"/>
      </rPr>
      <t xml:space="preserve">·PM </t>
    </r>
    <r>
      <rPr>
        <sz val="11"/>
        <color rgb="FF000000"/>
        <rFont val="Noto Sans CJK SC"/>
        <family val="2"/>
      </rPr>
      <t xml:space="preserve">인건비</t>
    </r>
  </si>
  <si>
    <t xml:space="preserve">과제 매출원가 합계</t>
  </si>
  <si>
    <r>
      <rPr>
        <sz val="11"/>
        <color rgb="FF000000"/>
        <rFont val="Noto Sans CJK SC"/>
        <family val="2"/>
      </rPr>
      <t xml:space="preserve">과제 단가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매출</t>
    </r>
    <r>
      <rPr>
        <sz val="11"/>
        <color rgb="FF000000"/>
        <rFont val="Arial"/>
        <family val="0"/>
        <charset val="1"/>
      </rPr>
      <t xml:space="preserve">)</t>
    </r>
  </si>
  <si>
    <t xml:space="preserve">매출총이익</t>
  </si>
  <si>
    <t xml:space="preserve">매출총이익률</t>
  </si>
  <si>
    <r>
      <rPr>
        <sz val="11"/>
        <color rgb="FF000000"/>
        <rFont val="Noto Sans CJK SC"/>
        <family val="2"/>
      </rPr>
      <t xml:space="preserve">과제당 총 투입 시간</t>
    </r>
    <r>
      <rPr>
        <sz val="11"/>
        <color rgb="FF000000"/>
        <rFont val="Arial"/>
        <family val="0"/>
        <charset val="1"/>
      </rPr>
      <t xml:space="preserve">(h)</t>
    </r>
  </si>
  <si>
    <r>
      <rPr>
        <sz val="11"/>
        <color rgb="FF000000"/>
        <rFont val="Noto Sans CJK SC"/>
        <family val="2"/>
      </rPr>
      <t xml:space="preserve">엔지니어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인 연간 최대 과제 수</t>
    </r>
  </si>
  <si>
    <r>
      <rPr>
        <sz val="11"/>
        <color rgb="FF000000"/>
        <rFont val="Noto Sans CJK SC"/>
        <family val="2"/>
      </rPr>
      <t xml:space="preserve">→ 청구가능 시간 </t>
    </r>
    <r>
      <rPr>
        <sz val="11"/>
        <color rgb="FF000000"/>
        <rFont val="Arial"/>
        <family val="0"/>
        <charset val="1"/>
      </rPr>
      <t xml:space="preserve">÷ </t>
    </r>
    <r>
      <rPr>
        <sz val="11"/>
        <color rgb="FF000000"/>
        <rFont val="Noto Sans CJK SC"/>
        <family val="2"/>
      </rPr>
      <t xml:space="preserve">과제당 시간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용량 상한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</si>
  <si>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해석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매출총이익률이 높아 보이지만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이 형태에서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Noto Sans CJK SC"/>
        <family val="2"/>
      </rPr>
      <t xml:space="preserve">이익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Noto Sans CJK SC"/>
        <family val="2"/>
      </rPr>
      <t xml:space="preserve">은 곧 연구실 인건비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장비 재투자다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용량 상한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연 과제 수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이 매출을 결정한다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</si>
  <si>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3"/>
        <rFont val="Arial"/>
        <family val="0"/>
        <charset val="1"/>
      </rPr>
      <t xml:space="preserve">B. V&amp;V40 </t>
    </r>
    <r>
      <rPr>
        <b val="true"/>
        <sz val="13"/>
        <rFont val="Noto Sans CJK SC"/>
        <family val="2"/>
      </rPr>
      <t xml:space="preserve">규제 근거 패키지 — 기기 프로그램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건 원가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마진</t>
    </r>
  </si>
  <si>
    <r>
      <rPr>
        <sz val="11"/>
        <color rgb="FF000000"/>
        <rFont val="Noto Sans CJK SC"/>
        <family val="2"/>
      </rPr>
      <t xml:space="preserve">범위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환자 형상 </t>
    </r>
    <r>
      <rPr>
        <sz val="11"/>
        <color rgb="FF000000"/>
        <rFont val="Arial"/>
        <family val="0"/>
        <charset val="1"/>
      </rPr>
      <t xml:space="preserve">N</t>
    </r>
    <r>
      <rPr>
        <sz val="11"/>
        <color rgb="FF000000"/>
        <rFont val="Noto Sans CJK SC"/>
        <family val="2"/>
      </rPr>
      <t xml:space="preserve">개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짝지어진 팬텀 </t>
    </r>
    <r>
      <rPr>
        <sz val="11"/>
        <color rgb="FF000000"/>
        <rFont val="Arial"/>
        <family val="0"/>
        <charset val="1"/>
      </rPr>
      <t xml:space="preserve">N</t>
    </r>
    <r>
      <rPr>
        <sz val="11"/>
        <color rgb="FF000000"/>
        <rFont val="Noto Sans CJK SC"/>
        <family val="2"/>
      </rPr>
      <t xml:space="preserve">개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벤치 캠페인 </t>
    </r>
    <r>
      <rPr>
        <sz val="11"/>
        <color rgb="FF000000"/>
        <rFont val="Arial"/>
        <family val="0"/>
        <charset val="1"/>
      </rPr>
      <t xml:space="preserve">+ in silico(FSI/EM) </t>
    </r>
    <r>
      <rPr>
        <sz val="11"/>
        <color rgb="FF000000"/>
        <rFont val="Noto Sans CJK SC"/>
        <family val="2"/>
      </rPr>
      <t xml:space="preserve">모델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보정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불확실성 정량화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신뢰성 보고서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시간은 파란 입력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</si>
  <si>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활동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엔지니어 시간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</si>
  <si>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형상 파이프라인 </t>
    </r>
    <r>
      <rPr>
        <sz val="11"/>
        <color rgb="FF000000"/>
        <rFont val="Arial"/>
        <family val="0"/>
        <charset val="1"/>
      </rPr>
      <t xml:space="preserve">× N (</t>
    </r>
    <r>
      <rPr>
        <sz val="11"/>
        <color rgb="FF000000"/>
        <rFont val="Noto Sans CJK SC"/>
        <family val="2"/>
      </rPr>
      <t xml:space="preserve">형상당 </t>
    </r>
    <r>
      <rPr>
        <sz val="11"/>
        <color rgb="FF000000"/>
        <rFont val="Arial"/>
        <family val="0"/>
        <charset val="1"/>
      </rPr>
      <t xml:space="preserve">9 h)</t>
    </r>
  </si>
  <si>
    <r>
      <rPr>
        <sz val="11"/>
        <color rgb="FF000000"/>
        <rFont val="Noto Sans CJK SC"/>
        <family val="2"/>
      </rPr>
      <t xml:space="preserve">형상 수는 </t>
    </r>
    <r>
      <rPr>
        <sz val="11"/>
        <color rgb="FF000000"/>
        <rFont val="Arial"/>
        <family val="0"/>
        <charset val="1"/>
      </rPr>
      <t xml:space="preserve">Inputs §6</t>
    </r>
  </si>
  <si>
    <r>
      <rPr>
        <sz val="11"/>
        <color rgb="FF000000"/>
        <rFont val="Noto Sans CJK SC"/>
        <family val="2"/>
      </rPr>
      <t xml:space="preserve">팬텀 제작 감독 </t>
    </r>
    <r>
      <rPr>
        <sz val="11"/>
        <color rgb="FF000000"/>
        <rFont val="Arial"/>
        <family val="0"/>
        <charset val="1"/>
      </rPr>
      <t xml:space="preserve">× N (</t>
    </r>
    <r>
      <rPr>
        <sz val="11"/>
        <color rgb="FF000000"/>
        <rFont val="Noto Sans CJK SC"/>
        <family val="2"/>
      </rPr>
      <t xml:space="preserve">팬텀당 </t>
    </r>
    <r>
      <rPr>
        <sz val="11"/>
        <color rgb="FF000000"/>
        <rFont val="Arial"/>
        <family val="0"/>
        <charset val="1"/>
      </rPr>
      <t xml:space="preserve">6 h)</t>
    </r>
  </si>
  <si>
    <r>
      <rPr>
        <sz val="11"/>
        <color rgb="FF000000"/>
        <rFont val="Noto Sans CJK SC"/>
        <family val="2"/>
      </rPr>
      <t xml:space="preserve">벤치 셋업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교정</t>
    </r>
  </si>
  <si>
    <r>
      <rPr>
        <sz val="11"/>
        <color rgb="FF000000"/>
        <rFont val="Noto Sans CJK SC"/>
        <family val="2"/>
      </rPr>
      <t xml:space="preserve">벤치 시험 </t>
    </r>
    <r>
      <rPr>
        <sz val="11"/>
        <color rgb="FF000000"/>
        <rFont val="Arial"/>
        <family val="0"/>
        <charset val="1"/>
      </rPr>
      <t xml:space="preserve">(N </t>
    </r>
    <r>
      <rPr>
        <sz val="11"/>
        <color rgb="FF000000"/>
        <rFont val="Noto Sans CJK SC"/>
        <family val="2"/>
      </rPr>
      <t xml:space="preserve">팬텀 </t>
    </r>
    <r>
      <rPr>
        <sz val="11"/>
        <color rgb="FF000000"/>
        <rFont val="Arial"/>
        <family val="0"/>
        <charset val="1"/>
      </rPr>
      <t xml:space="preserve">× 3 </t>
    </r>
    <r>
      <rPr>
        <sz val="11"/>
        <color rgb="FF000000"/>
        <rFont val="Noto Sans CJK SC"/>
        <family val="2"/>
      </rPr>
      <t xml:space="preserve">조건 </t>
    </r>
    <r>
      <rPr>
        <sz val="11"/>
        <color rgb="FF000000"/>
        <rFont val="Arial"/>
        <family val="0"/>
        <charset val="1"/>
      </rPr>
      <t xml:space="preserve">× 4 h)</t>
    </r>
  </si>
  <si>
    <r>
      <rPr>
        <sz val="11"/>
        <color rgb="FF000000"/>
        <rFont val="Noto Sans CJK SC"/>
        <family val="2"/>
      </rPr>
      <t xml:space="preserve">정상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고박출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저박출 등</t>
    </r>
  </si>
  <si>
    <t xml:space="preserve">벤치 데이터 분석</t>
  </si>
  <si>
    <r>
      <rPr>
        <sz val="11"/>
        <color rgb="FF000000"/>
        <rFont val="Arial"/>
        <family val="0"/>
        <charset val="1"/>
      </rPr>
      <t xml:space="preserve">in silico </t>
    </r>
    <r>
      <rPr>
        <sz val="11"/>
        <color rgb="FF000000"/>
        <rFont val="Noto Sans CJK SC"/>
        <family val="2"/>
      </rPr>
      <t xml:space="preserve">모델 구축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메시</t>
    </r>
    <r>
      <rPr>
        <sz val="11"/>
        <color rgb="FF000000"/>
        <rFont val="Arial"/>
        <family val="0"/>
        <charset val="1"/>
      </rPr>
      <t xml:space="preserve">·BC·</t>
    </r>
    <r>
      <rPr>
        <sz val="11"/>
        <color rgb="FF000000"/>
        <rFont val="Noto Sans CJK SC"/>
        <family val="2"/>
      </rPr>
      <t xml:space="preserve">정합 메시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</si>
  <si>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svMultiPhysics FSI </t>
    </r>
    <r>
      <rPr>
        <sz val="11"/>
        <color rgb="FF000000"/>
        <rFont val="Noto Sans CJK SC"/>
        <family val="2"/>
      </rPr>
      <t xml:space="preserve">또는 </t>
    </r>
    <r>
      <rPr>
        <sz val="11"/>
        <color rgb="FF000000"/>
        <rFont val="Arial"/>
        <family val="0"/>
        <charset val="1"/>
      </rPr>
      <t xml:space="preserve">EM</t>
    </r>
  </si>
  <si>
    <r>
      <rPr>
        <sz val="11"/>
        <color rgb="FF000000"/>
        <rFont val="Noto Sans CJK SC"/>
        <family val="2"/>
      </rPr>
      <t xml:space="preserve">모델 보정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벤치 대비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</si>
  <si>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불확실성 정량화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민감도</t>
    </r>
    <r>
      <rPr>
        <sz val="11"/>
        <color rgb="FF000000"/>
        <rFont val="Arial"/>
        <family val="0"/>
        <charset val="1"/>
      </rPr>
      <t xml:space="preserve">(20~30 </t>
    </r>
    <r>
      <rPr>
        <sz val="11"/>
        <color rgb="FF000000"/>
        <rFont val="Noto Sans CJK SC"/>
        <family val="2"/>
      </rPr>
      <t xml:space="preserve">런 설정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분석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</si>
  <si>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V&amp;V40 </t>
    </r>
    <r>
      <rPr>
        <sz val="11"/>
        <color rgb="FF000000"/>
        <rFont val="Noto Sans CJK SC"/>
        <family val="2"/>
      </rPr>
      <t xml:space="preserve">신뢰성 요소</t>
    </r>
  </si>
  <si>
    <r>
      <rPr>
        <sz val="11"/>
        <color rgb="FF000000"/>
        <rFont val="Arial"/>
        <family val="0"/>
        <charset val="1"/>
      </rPr>
      <t xml:space="preserve">V&amp;V40 </t>
    </r>
    <r>
      <rPr>
        <sz val="11"/>
        <color rgb="FF000000"/>
        <rFont val="Noto Sans CJK SC"/>
        <family val="2"/>
      </rPr>
      <t xml:space="preserve">신뢰성 문서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보고서</t>
    </r>
  </si>
  <si>
    <t xml:space="preserve">가장 큰 항목 — 규제 어휘로 작성</t>
  </si>
  <si>
    <r>
      <rPr>
        <sz val="11"/>
        <color rgb="FF000000"/>
        <rFont val="Noto Sans CJK SC"/>
        <family val="2"/>
      </rPr>
      <t xml:space="preserve">독립 </t>
    </r>
    <r>
      <rPr>
        <sz val="11"/>
        <color rgb="FF000000"/>
        <rFont val="Arial"/>
        <family val="0"/>
        <charset val="1"/>
      </rPr>
      <t xml:space="preserve">QA </t>
    </r>
    <r>
      <rPr>
        <sz val="11"/>
        <color rgb="FF000000"/>
        <rFont val="Noto Sans CJK SC"/>
        <family val="2"/>
      </rPr>
      <t xml:space="preserve">검토</t>
    </r>
  </si>
  <si>
    <r>
      <rPr>
        <sz val="11"/>
        <color rgb="FF000000"/>
        <rFont val="Arial"/>
        <family val="0"/>
        <charset val="1"/>
      </rPr>
      <t xml:space="preserve">PM·</t>
    </r>
    <r>
      <rPr>
        <sz val="11"/>
        <color rgb="FF000000"/>
        <rFont val="Noto Sans CJK SC"/>
        <family val="2"/>
      </rPr>
      <t xml:space="preserve">고객 미팅</t>
    </r>
  </si>
  <si>
    <t xml:space="preserve">엔지니어 시간 소계</t>
  </si>
  <si>
    <r>
      <rPr>
        <sz val="11"/>
        <color rgb="FF000000"/>
        <rFont val="Noto Sans CJK SC"/>
        <family val="2"/>
      </rPr>
      <t xml:space="preserve">기술원 시간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팬텀당 </t>
    </r>
    <r>
      <rPr>
        <sz val="11"/>
        <color rgb="FF000000"/>
        <rFont val="Arial"/>
        <family val="0"/>
        <charset val="1"/>
      </rPr>
      <t xml:space="preserve">6 h + </t>
    </r>
    <r>
      <rPr>
        <sz val="11"/>
        <color rgb="FF000000"/>
        <rFont val="Noto Sans CJK SC"/>
        <family val="2"/>
      </rPr>
      <t xml:space="preserve">벤치 보조 </t>
    </r>
    <r>
      <rPr>
        <sz val="11"/>
        <color rgb="FF000000"/>
        <rFont val="Arial"/>
        <family val="0"/>
        <charset val="1"/>
      </rPr>
      <t xml:space="preserve">40 h)</t>
    </r>
  </si>
  <si>
    <r>
      <rPr>
        <sz val="11"/>
        <color rgb="FF000000"/>
        <rFont val="Arial"/>
        <family val="0"/>
        <charset val="1"/>
      </rPr>
      <t xml:space="preserve">PI/</t>
    </r>
    <r>
      <rPr>
        <sz val="11"/>
        <color rgb="FF000000"/>
        <rFont val="Noto Sans CJK SC"/>
        <family val="2"/>
      </rPr>
      <t xml:space="preserve">시니어 시간</t>
    </r>
  </si>
  <si>
    <t xml:space="preserve">직접인건비 합계</t>
  </si>
  <si>
    <r>
      <rPr>
        <sz val="11"/>
        <color rgb="FF000000"/>
        <rFont val="Noto Sans CJK SC"/>
        <family val="2"/>
      </rPr>
      <t xml:space="preserve">팬텀 재료 </t>
    </r>
    <r>
      <rPr>
        <sz val="11"/>
        <color rgb="FF000000"/>
        <rFont val="Arial"/>
        <family val="0"/>
        <charset val="1"/>
      </rPr>
      <t xml:space="preserve">× N</t>
    </r>
  </si>
  <si>
    <r>
      <rPr>
        <sz val="11"/>
        <color rgb="FF000000"/>
        <rFont val="Noto Sans CJK SC"/>
        <family val="2"/>
      </rPr>
      <t xml:space="preserve">프린터 가동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팬텀당 </t>
    </r>
    <r>
      <rPr>
        <sz val="11"/>
        <color rgb="FF000000"/>
        <rFont val="Arial"/>
        <family val="0"/>
        <charset val="1"/>
      </rPr>
      <t xml:space="preserve">45 h)</t>
    </r>
  </si>
  <si>
    <r>
      <rPr>
        <sz val="11"/>
        <color rgb="FF000000"/>
        <rFont val="Noto Sans CJK SC"/>
        <family val="2"/>
      </rPr>
      <t xml:space="preserve">벤치 점유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주</t>
    </r>
    <r>
      <rPr>
        <sz val="11"/>
        <color rgb="FF000000"/>
        <rFont val="Arial"/>
        <family val="0"/>
        <charset val="1"/>
      </rPr>
      <t xml:space="preserve">)</t>
    </r>
  </si>
  <si>
    <t xml:space="preserve">감가상각 배분 — 장비가 없으면 외부 벤치 임차비로 교체</t>
  </si>
  <si>
    <t xml:space="preserve">벤치 소모품</t>
  </si>
  <si>
    <r>
      <rPr>
        <sz val="11"/>
        <color rgb="FF000000"/>
        <rFont val="Noto Sans CJK SC"/>
        <family val="2"/>
      </rPr>
      <t xml:space="preserve">계산 가동 </t>
    </r>
    <r>
      <rPr>
        <sz val="11"/>
        <color rgb="FF000000"/>
        <rFont val="Arial"/>
        <family val="0"/>
        <charset val="1"/>
      </rPr>
      <t xml:space="preserve">(FSI/EM </t>
    </r>
    <r>
      <rPr>
        <sz val="11"/>
        <color rgb="FF000000"/>
        <rFont val="Noto Sans CJK SC"/>
        <family val="2"/>
      </rPr>
      <t xml:space="preserve">런 </t>
    </r>
    <r>
      <rPr>
        <sz val="11"/>
        <color rgb="FF000000"/>
        <rFont val="Arial"/>
        <family val="0"/>
        <charset val="1"/>
      </rPr>
      <t xml:space="preserve">+ UQ)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</si>
  <si>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] 24 h </t>
    </r>
    <r>
      <rPr>
        <sz val="11"/>
        <color rgb="FF000000"/>
        <rFont val="Noto Sans CJK SC"/>
        <family val="2"/>
      </rPr>
      <t xml:space="preserve">런 </t>
    </r>
    <r>
      <rPr>
        <sz val="11"/>
        <color rgb="FF000000"/>
        <rFont val="Arial"/>
        <family val="0"/>
        <charset val="1"/>
      </rPr>
      <t xml:space="preserve">× 25</t>
    </r>
    <r>
      <rPr>
        <sz val="11"/>
        <color rgb="FF000000"/>
        <rFont val="Noto Sans CJK SC"/>
        <family val="2"/>
      </rPr>
      <t xml:space="preserve">회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원가는 작고 달력 시간이 병목</t>
    </r>
  </si>
  <si>
    <t xml:space="preserve">규제 자문 외주</t>
  </si>
  <si>
    <t xml:space="preserve">직접원가</t>
  </si>
  <si>
    <r>
      <rPr>
        <b val="true"/>
        <sz val="11"/>
        <color rgb="FF000000"/>
        <rFont val="Noto Sans CJK SC"/>
        <family val="2"/>
      </rPr>
      <t xml:space="preserve">프로그램 매출원가 </t>
    </r>
    <r>
      <rPr>
        <b val="true"/>
        <sz val="11"/>
        <color rgb="FF000000"/>
        <rFont val="Arial"/>
        <family val="0"/>
        <charset val="1"/>
      </rPr>
      <t xml:space="preserve">(COGS)</t>
    </r>
  </si>
  <si>
    <r>
      <rPr>
        <sz val="11"/>
        <color rgb="FF000000"/>
        <rFont val="Noto Sans CJK SC"/>
        <family val="2"/>
      </rPr>
      <t xml:space="preserve">프로그램 단가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매출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</si>
  <si>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프로그램당 총 인력 시간</t>
    </r>
    <r>
      <rPr>
        <sz val="11"/>
        <color rgb="FF000000"/>
        <rFont val="Arial"/>
        <family val="0"/>
        <charset val="1"/>
      </rPr>
      <t xml:space="preserve">(h)</t>
    </r>
  </si>
  <si>
    <r>
      <rPr>
        <sz val="11"/>
        <color rgb="FF000000"/>
        <rFont val="Noto Sans CJK SC"/>
        <family val="2"/>
      </rPr>
      <t xml:space="preserve">엔지니어 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인 팀 연간 최대 프로그램 수</t>
    </r>
  </si>
  <si>
    <r>
      <rPr>
        <sz val="11"/>
        <color rgb="FF000000"/>
        <rFont val="Arial"/>
        <family val="0"/>
        <charset val="1"/>
      </rPr>
      <t xml:space="preserve">→ 3 × </t>
    </r>
    <r>
      <rPr>
        <sz val="11"/>
        <color rgb="FF000000"/>
        <rFont val="Noto Sans CJK SC"/>
        <family val="2"/>
      </rPr>
      <t xml:space="preserve">청구가능 시간 </t>
    </r>
    <r>
      <rPr>
        <sz val="11"/>
        <color rgb="FF000000"/>
        <rFont val="Arial"/>
        <family val="0"/>
        <charset val="1"/>
      </rPr>
      <t xml:space="preserve">÷ </t>
    </r>
    <r>
      <rPr>
        <sz val="11"/>
        <color rgb="FF000000"/>
        <rFont val="Noto Sans CJK SC"/>
        <family val="2"/>
      </rPr>
      <t xml:space="preserve">프로그램당 엔지니어 시간</t>
    </r>
  </si>
  <si>
    <r>
      <rPr>
        <sz val="11"/>
        <color rgb="FF000000"/>
        <rFont val="Noto Sans CJK SC"/>
        <family val="2"/>
      </rPr>
      <t xml:space="preserve">해석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원가의 </t>
    </r>
    <r>
      <rPr>
        <sz val="11"/>
        <color rgb="FF000000"/>
        <rFont val="Arial"/>
        <family val="0"/>
        <charset val="1"/>
      </rPr>
      <t xml:space="preserve">70% </t>
    </r>
    <r>
      <rPr>
        <sz val="11"/>
        <color rgb="FF000000"/>
        <rFont val="Noto Sans CJK SC"/>
        <family val="2"/>
      </rPr>
      <t xml:space="preserve">이상이 인건비이고 그중 최대 항목은 문서화다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파이프라인 자동화가 줄이는 것은 형상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팬텀 시간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전체의 </t>
    </r>
    <r>
      <rPr>
        <sz val="11"/>
        <color rgb="FF000000"/>
        <rFont val="Arial"/>
        <family val="0"/>
        <charset val="1"/>
      </rPr>
      <t xml:space="preserve">~10%)</t>
    </r>
    <r>
      <rPr>
        <sz val="11"/>
        <color rgb="FF000000"/>
        <rFont val="Noto Sans CJK SC"/>
        <family val="2"/>
      </rPr>
      <t xml:space="preserve">뿐 — 마진의 열쇠는 문서 템플릿 재사용이다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</si>
  <si>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3"/>
        <rFont val="Arial"/>
        <family val="0"/>
        <charset val="1"/>
      </rPr>
      <t xml:space="preserve">C. </t>
    </r>
    <r>
      <rPr>
        <b val="true"/>
        <sz val="13"/>
        <rFont val="Noto Sans CJK SC"/>
        <family val="2"/>
      </rPr>
      <t xml:space="preserve">케이스당 시술 계획 서비스 — 변동원가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공헌이익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손익분기</t>
    </r>
  </si>
  <si>
    <r>
      <rPr>
        <sz val="11"/>
        <color rgb="FF000000"/>
        <rFont val="Noto Sans CJK SC"/>
        <family val="2"/>
      </rPr>
      <t xml:space="preserve">전제</t>
    </r>
    <r>
      <rPr>
        <sz val="11"/>
        <color rgb="FF000000"/>
        <rFont val="Arial"/>
        <family val="0"/>
        <charset val="1"/>
      </rPr>
      <t xml:space="preserve">: SaMD </t>
    </r>
    <r>
      <rPr>
        <sz val="11"/>
        <color rgb="FF000000"/>
        <rFont val="Noto Sans CJK SC"/>
        <family val="2"/>
      </rPr>
      <t xml:space="preserve">인허가 완료 후 운영 단계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고정비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초기투자가 지배적이라 손익분기 케이스 수가 핵심</t>
    </r>
    <r>
      <rPr>
        <sz val="11"/>
        <color rgb="FF000000"/>
        <rFont val="Arial"/>
        <family val="0"/>
        <charset val="1"/>
      </rPr>
      <t xml:space="preserve">.</t>
    </r>
  </si>
  <si>
    <t xml:space="preserve">케이스당 변동원가</t>
  </si>
  <si>
    <t xml:space="preserve">엔지니어 검토 인건비</t>
  </si>
  <si>
    <r>
      <rPr>
        <sz val="11"/>
        <color rgb="FF000000"/>
        <rFont val="Noto Sans CJK SC"/>
        <family val="2"/>
      </rPr>
      <t xml:space="preserve">클라우드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스토리지</t>
    </r>
  </si>
  <si>
    <r>
      <rPr>
        <sz val="11"/>
        <color rgb="FF000000"/>
        <rFont val="Noto Sans CJK SC"/>
        <family val="2"/>
      </rPr>
      <t xml:space="preserve">계산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케이스당 </t>
    </r>
    <r>
      <rPr>
        <sz val="11"/>
        <color rgb="FF000000"/>
        <rFont val="Arial"/>
        <family val="0"/>
        <charset val="1"/>
      </rPr>
      <t xml:space="preserve">4 h)</t>
    </r>
  </si>
  <si>
    <r>
      <rPr>
        <sz val="11"/>
        <color rgb="FF000000"/>
        <rFont val="Noto Sans CJK SC"/>
        <family val="2"/>
      </rPr>
      <t xml:space="preserve">간접비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인건비 </t>
    </r>
    <r>
      <rPr>
        <sz val="11"/>
        <color rgb="FF000000"/>
        <rFont val="Arial"/>
        <family val="0"/>
        <charset val="1"/>
      </rPr>
      <t xml:space="preserve">× </t>
    </r>
    <r>
      <rPr>
        <sz val="11"/>
        <color rgb="FF000000"/>
        <rFont val="Noto Sans CJK SC"/>
        <family val="2"/>
      </rPr>
      <t xml:space="preserve">간접비율</t>
    </r>
    <r>
      <rPr>
        <sz val="11"/>
        <color rgb="FF000000"/>
        <rFont val="Arial"/>
        <family val="0"/>
        <charset val="1"/>
      </rPr>
      <t xml:space="preserve">)</t>
    </r>
  </si>
  <si>
    <t xml:space="preserve">케이스당 변동원가 합계</t>
  </si>
  <si>
    <t xml:space="preserve">케이스 단가</t>
  </si>
  <si>
    <t xml:space="preserve">케이스당 공헌이익</t>
  </si>
  <si>
    <t xml:space="preserve">공헌이익률</t>
  </si>
  <si>
    <r>
      <rPr>
        <sz val="11"/>
        <color rgb="FF000000"/>
        <rFont val="Noto Sans CJK SC"/>
        <family val="2"/>
      </rPr>
      <t xml:space="preserve">연간 고정비 </t>
    </r>
    <r>
      <rPr>
        <sz val="11"/>
        <color rgb="FF000000"/>
        <rFont val="Arial"/>
        <family val="0"/>
        <charset val="1"/>
      </rPr>
      <t xml:space="preserve">(SaMD </t>
    </r>
    <r>
      <rPr>
        <sz val="11"/>
        <color rgb="FF000000"/>
        <rFont val="Noto Sans CJK SC"/>
        <family val="2"/>
      </rPr>
      <t xml:space="preserve">유지</t>
    </r>
    <r>
      <rPr>
        <sz val="11"/>
        <color rgb="FF000000"/>
        <rFont val="Arial"/>
        <family val="0"/>
        <charset val="1"/>
      </rPr>
      <t xml:space="preserve">·QMS·</t>
    </r>
    <r>
      <rPr>
        <sz val="11"/>
        <color rgb="FF000000"/>
        <rFont val="Noto Sans CJK SC"/>
        <family val="2"/>
      </rPr>
      <t xml:space="preserve">보험</t>
    </r>
    <r>
      <rPr>
        <sz val="11"/>
        <color rgb="FF000000"/>
        <rFont val="Arial"/>
        <family val="0"/>
        <charset val="1"/>
      </rPr>
      <t xml:space="preserve">)</t>
    </r>
  </si>
  <si>
    <t xml:space="preserve">초기 투자 연 상각</t>
  </si>
  <si>
    <t xml:space="preserve">연간 고정비 합계</t>
  </si>
  <si>
    <r>
      <rPr>
        <b val="true"/>
        <sz val="11"/>
        <color rgb="FF000000"/>
        <rFont val="Noto Sans CJK SC"/>
        <family val="2"/>
      </rPr>
      <t xml:space="preserve">손익분기 케이스 수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연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</si>
  <si>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연간 케이스 수 →</t>
  </si>
  <si>
    <t xml:space="preserve">매출</t>
  </si>
  <si>
    <t xml:space="preserve">변동원가</t>
  </si>
  <si>
    <t xml:space="preserve">고정비 합계</t>
  </si>
  <si>
    <t xml:space="preserve">영업이익</t>
  </si>
  <si>
    <r>
      <rPr>
        <sz val="11"/>
        <color rgb="FF000000"/>
        <rFont val="Noto Sans CJK SC"/>
        <family val="2"/>
      </rPr>
      <t xml:space="preserve">필요 엔지니어 수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검토 시간 기준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</si>
  <si>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해석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공헌이익률은 높지만 손익분기 케이스 수가 국내 대상 시술 건수의 상당 비율이다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수가 없이 병원이 부담하는 구조에서는 이 케이스 수에 도달하기 어렵다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</si>
  <si>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연간 손익 시나리오 </t>
    </r>
    <r>
      <rPr>
        <b val="true"/>
        <sz val="13"/>
        <rFont val="Arial"/>
        <family val="0"/>
        <charset val="1"/>
      </rPr>
      <t xml:space="preserve">(A → B </t>
    </r>
    <r>
      <rPr>
        <b val="true"/>
        <sz val="13"/>
        <rFont val="Noto Sans CJK SC"/>
        <family val="2"/>
      </rPr>
      <t xml:space="preserve">전환</t>
    </r>
    <r>
      <rPr>
        <b val="true"/>
        <sz val="13"/>
        <rFont val="Arial"/>
        <family val="0"/>
        <charset val="1"/>
      </rPr>
      <t xml:space="preserve">, C </t>
    </r>
    <r>
      <rPr>
        <b val="true"/>
        <sz val="13"/>
        <rFont val="Noto Sans CJK SC"/>
        <family val="2"/>
      </rPr>
      <t xml:space="preserve">제외</t>
    </r>
    <r>
      <rPr>
        <b val="true"/>
        <sz val="13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</si>
  <si>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파란 행이 시나리오 레버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인건비는 가동률과 무관하게 전액 비용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처리 — 미청구 시간이 곧 손실이라는 현실 반영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원가 시트의 인건비는 여기서 이중 계상하지 않고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Noto Sans CJK SC"/>
        <family val="2"/>
      </rPr>
      <t xml:space="preserve">비인건비 직접원가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Noto Sans CJK SC"/>
        <family val="2"/>
      </rPr>
      <t xml:space="preserve">만 가져온다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</si>
  <si>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년차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</si>
  <si>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년차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</si>
  <si>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년차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</si>
  <si>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년차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</si>
  <si>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년차</t>
    </r>
  </si>
  <si>
    <t xml:space="preserve">시나리오 레버</t>
  </si>
  <si>
    <r>
      <rPr>
        <sz val="11"/>
        <color rgb="FF000000"/>
        <rFont val="Arial"/>
        <family val="0"/>
        <charset val="1"/>
      </rPr>
      <t xml:space="preserve">A </t>
    </r>
    <r>
      <rPr>
        <sz val="11"/>
        <color rgb="FF000000"/>
        <rFont val="Noto Sans CJK SC"/>
        <family val="2"/>
      </rPr>
      <t xml:space="preserve">과제 수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건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</si>
  <si>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시나리오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연구실 단계 → </t>
    </r>
    <r>
      <rPr>
        <sz val="11"/>
        <color rgb="FF000000"/>
        <rFont val="Arial"/>
        <family val="0"/>
        <charset val="1"/>
      </rPr>
      <t xml:space="preserve">B</t>
    </r>
    <r>
      <rPr>
        <sz val="11"/>
        <color rgb="FF000000"/>
        <rFont val="Noto Sans CJK SC"/>
        <family val="2"/>
      </rPr>
      <t xml:space="preserve">로 무게 이동</t>
    </r>
  </si>
  <si>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프로그램 수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건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</si>
  <si>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시나리오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검증 논문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벤치 확보 후 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년차부터</t>
    </r>
  </si>
  <si>
    <r>
      <rPr>
        <sz val="11"/>
        <color rgb="FF000000"/>
        <rFont val="Noto Sans CJK SC"/>
        <family val="2"/>
      </rPr>
      <t xml:space="preserve">엔지니어 인원</t>
    </r>
    <r>
      <rPr>
        <sz val="11"/>
        <color rgb="FF000000"/>
        <rFont val="Arial"/>
        <family val="0"/>
        <charset val="1"/>
      </rPr>
      <t xml:space="preserve">(FTE)</t>
    </r>
  </si>
  <si>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시나리오</t>
    </r>
    <r>
      <rPr>
        <sz val="11"/>
        <color rgb="FF000000"/>
        <rFont val="Arial"/>
        <family val="0"/>
        <charset val="1"/>
      </rPr>
      <t xml:space="preserve">] </t>
    </r>
    <r>
      <rPr>
        <sz val="11"/>
        <color rgb="FF000000"/>
        <rFont val="Noto Sans CJK SC"/>
        <family val="2"/>
      </rPr>
      <t xml:space="preserve">급여는 전액 비용</t>
    </r>
  </si>
  <si>
    <r>
      <rPr>
        <sz val="11"/>
        <color rgb="FF000000"/>
        <rFont val="Noto Sans CJK SC"/>
        <family val="2"/>
      </rPr>
      <t xml:space="preserve">기술원 인원</t>
    </r>
    <r>
      <rPr>
        <sz val="11"/>
        <color rgb="FF000000"/>
        <rFont val="Arial"/>
        <family val="0"/>
        <charset val="1"/>
      </rPr>
      <t xml:space="preserve">(FTE)</t>
    </r>
  </si>
  <si>
    <r>
      <rPr>
        <sz val="11"/>
        <color rgb="FF000000"/>
        <rFont val="Noto Sans CJK SC"/>
        <family val="2"/>
      </rPr>
      <t xml:space="preserve">기타 고정비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임차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행정</t>
    </r>
    <r>
      <rPr>
        <sz val="11"/>
        <color rgb="FF000000"/>
        <rFont val="Arial"/>
        <family val="0"/>
        <charset val="1"/>
      </rPr>
      <t xml:space="preserve">·SW·</t>
    </r>
    <r>
      <rPr>
        <sz val="11"/>
        <color rgb="FF000000"/>
        <rFont val="Noto Sans CJK SC"/>
        <family val="2"/>
      </rPr>
      <t xml:space="preserve">보험</t>
    </r>
    <r>
      <rPr>
        <sz val="11"/>
        <color rgb="FF000000"/>
        <rFont val="Arial"/>
        <family val="0"/>
        <charset val="1"/>
      </rPr>
      <t xml:space="preserve">, ₩/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</si>
  <si>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벤치 장비 보유</t>
    </r>
    <r>
      <rPr>
        <sz val="11"/>
        <color rgb="FF000000"/>
        <rFont val="Arial"/>
        <family val="0"/>
        <charset val="1"/>
      </rPr>
      <t xml:space="preserve">(1=</t>
    </r>
    <r>
      <rPr>
        <sz val="11"/>
        <color rgb="FF000000"/>
        <rFont val="Noto Sans CJK SC"/>
        <family val="2"/>
      </rPr>
      <t xml:space="preserve">있음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</si>
  <si>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년차 구매 가정 → 감가상각 시작</t>
    </r>
  </si>
  <si>
    <t xml:space="preserve">손익</t>
  </si>
  <si>
    <r>
      <rPr>
        <sz val="11"/>
        <color rgb="FF000000"/>
        <rFont val="Noto Sans CJK SC"/>
        <family val="2"/>
      </rPr>
      <t xml:space="preserve">매출 — </t>
    </r>
    <r>
      <rPr>
        <sz val="11"/>
        <color rgb="FF000000"/>
        <rFont val="Arial"/>
        <family val="0"/>
        <charset val="1"/>
      </rPr>
      <t xml:space="preserve">A</t>
    </r>
  </si>
  <si>
    <r>
      <rPr>
        <sz val="11"/>
        <color rgb="FF000000"/>
        <rFont val="Noto Sans CJK SC"/>
        <family val="2"/>
      </rPr>
      <t xml:space="preserve">매출 — </t>
    </r>
    <r>
      <rPr>
        <sz val="11"/>
        <color rgb="FF000000"/>
        <rFont val="Arial"/>
        <family val="0"/>
        <charset val="1"/>
      </rPr>
      <t xml:space="preserve">B</t>
    </r>
  </si>
  <si>
    <t xml:space="preserve">매출 합계</t>
  </si>
  <si>
    <r>
      <rPr>
        <sz val="11"/>
        <color rgb="FF000000"/>
        <rFont val="Noto Sans CJK SC"/>
        <family val="2"/>
      </rPr>
      <t xml:space="preserve">비인건비 직접원가 — </t>
    </r>
    <r>
      <rPr>
        <sz val="11"/>
        <color rgb="FF000000"/>
        <rFont val="Arial"/>
        <family val="0"/>
        <charset val="1"/>
      </rPr>
      <t xml:space="preserve">A</t>
    </r>
  </si>
  <si>
    <r>
      <rPr>
        <sz val="11"/>
        <color rgb="FF000000"/>
        <rFont val="Noto Sans CJK SC"/>
        <family val="2"/>
      </rPr>
      <t xml:space="preserve">재료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프린터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계산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인건비 제외</t>
    </r>
    <r>
      <rPr>
        <sz val="11"/>
        <color rgb="FF000000"/>
        <rFont val="Arial"/>
        <family val="0"/>
        <charset val="1"/>
      </rPr>
      <t xml:space="preserve">) + </t>
    </r>
    <r>
      <rPr>
        <sz val="11"/>
        <color rgb="FF000000"/>
        <rFont val="Noto Sans CJK SC"/>
        <family val="2"/>
      </rPr>
      <t xml:space="preserve">예비비</t>
    </r>
  </si>
  <si>
    <r>
      <rPr>
        <sz val="11"/>
        <color rgb="FF000000"/>
        <rFont val="Noto Sans CJK SC"/>
        <family val="2"/>
      </rPr>
      <t xml:space="preserve">비인건비 직접원가 — </t>
    </r>
    <r>
      <rPr>
        <sz val="11"/>
        <color rgb="FF000000"/>
        <rFont val="Arial"/>
        <family val="0"/>
        <charset val="1"/>
      </rPr>
      <t xml:space="preserve">B</t>
    </r>
  </si>
  <si>
    <t xml:space="preserve">벤치 감가상각 배분은 아래 감가상각과 중복되므로 여기서는 제외하지 않음 — 보수적</t>
  </si>
  <si>
    <r>
      <rPr>
        <sz val="11"/>
        <color rgb="FF000000"/>
        <rFont val="Noto Sans CJK SC"/>
        <family val="2"/>
      </rPr>
      <t xml:space="preserve">인건비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엔지니어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기술원 급여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</si>
  <si>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기술원은 시급 </t>
    </r>
    <r>
      <rPr>
        <sz val="11"/>
        <color rgb="FF000000"/>
        <rFont val="Arial"/>
        <family val="0"/>
        <charset val="1"/>
      </rPr>
      <t xml:space="preserve">× 2,000 h</t>
    </r>
  </si>
  <si>
    <r>
      <rPr>
        <sz val="11"/>
        <color rgb="FF000000"/>
        <rFont val="Arial"/>
        <family val="0"/>
        <charset val="1"/>
      </rPr>
      <t xml:space="preserve">PI/</t>
    </r>
    <r>
      <rPr>
        <sz val="11"/>
        <color rgb="FF000000"/>
        <rFont val="Noto Sans CJK SC"/>
        <family val="2"/>
      </rPr>
      <t xml:space="preserve">시니어 자문</t>
    </r>
  </si>
  <si>
    <r>
      <rPr>
        <sz val="11"/>
        <color rgb="FF000000"/>
        <rFont val="Arial"/>
        <family val="0"/>
        <charset val="1"/>
      </rPr>
      <t xml:space="preserve">A </t>
    </r>
    <r>
      <rPr>
        <sz val="11"/>
        <color rgb="FF000000"/>
        <rFont val="Noto Sans CJK SC"/>
        <family val="2"/>
      </rPr>
      <t xml:space="preserve">과제당 </t>
    </r>
    <r>
      <rPr>
        <sz val="11"/>
        <color rgb="FF000000"/>
        <rFont val="Arial"/>
        <family val="0"/>
        <charset val="1"/>
      </rPr>
      <t xml:space="preserve">2 h, B </t>
    </r>
    <r>
      <rPr>
        <sz val="11"/>
        <color rgb="FF000000"/>
        <rFont val="Noto Sans CJK SC"/>
        <family val="2"/>
      </rPr>
      <t xml:space="preserve">프로그램당 </t>
    </r>
    <r>
      <rPr>
        <sz val="11"/>
        <color rgb="FF000000"/>
        <rFont val="Arial"/>
        <family val="0"/>
        <charset val="1"/>
      </rPr>
      <t xml:space="preserve">Inputs </t>
    </r>
    <r>
      <rPr>
        <sz val="11"/>
        <color rgb="FF000000"/>
        <rFont val="Noto Sans CJK SC"/>
        <family val="2"/>
      </rPr>
      <t xml:space="preserve">시간</t>
    </r>
  </si>
  <si>
    <t xml:space="preserve">기타 고정비</t>
  </si>
  <si>
    <r>
      <rPr>
        <sz val="11"/>
        <color rgb="FF000000"/>
        <rFont val="Noto Sans CJK SC"/>
        <family val="2"/>
      </rPr>
      <t xml:space="preserve">감가상각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벤치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프린터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워크스테이션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</si>
  <si>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프린터 </t>
    </r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년 정액</t>
    </r>
  </si>
  <si>
    <t xml:space="preserve">비용 합계</t>
  </si>
  <si>
    <t xml:space="preserve">영업이익률</t>
  </si>
  <si>
    <t xml:space="preserve">누적 영업이익</t>
  </si>
  <si>
    <t xml:space="preserve">용량 점검</t>
  </si>
  <si>
    <r>
      <rPr>
        <sz val="11"/>
        <color rgb="FF000000"/>
        <rFont val="Noto Sans CJK SC"/>
        <family val="2"/>
      </rPr>
      <t xml:space="preserve">필요 엔지니어 시간</t>
    </r>
    <r>
      <rPr>
        <sz val="11"/>
        <color rgb="FF000000"/>
        <rFont val="Arial"/>
        <family val="0"/>
        <charset val="1"/>
      </rPr>
      <t xml:space="preserve">(h)</t>
    </r>
  </si>
  <si>
    <r>
      <rPr>
        <sz val="11"/>
        <color rgb="FF000000"/>
        <rFont val="Noto Sans CJK SC"/>
        <family val="2"/>
      </rPr>
      <t xml:space="preserve">가용 엔지니어 시간</t>
    </r>
    <r>
      <rPr>
        <sz val="11"/>
        <color rgb="FF000000"/>
        <rFont val="Arial"/>
        <family val="0"/>
        <charset val="1"/>
      </rPr>
      <t xml:space="preserve">(h)</t>
    </r>
  </si>
  <si>
    <t xml:space="preserve">가동률</t>
  </si>
  <si>
    <r>
      <rPr>
        <sz val="11"/>
        <color rgb="FF000000"/>
        <rFont val="Arial"/>
        <family val="0"/>
        <charset val="1"/>
      </rPr>
      <t xml:space="preserve">100% </t>
    </r>
    <r>
      <rPr>
        <sz val="11"/>
        <color rgb="FF000000"/>
        <rFont val="Noto Sans CJK SC"/>
        <family val="2"/>
      </rPr>
      <t xml:space="preserve">초과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인원 부족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시나리오 비현실</t>
    </r>
    <r>
      <rPr>
        <sz val="11"/>
        <color rgb="FF000000"/>
        <rFont val="Arial"/>
        <family val="0"/>
        <charset val="1"/>
      </rPr>
      <t xml:space="preserve">), 60% </t>
    </r>
    <r>
      <rPr>
        <sz val="11"/>
        <color rgb="FF000000"/>
        <rFont val="Noto Sans CJK SC"/>
        <family val="2"/>
      </rPr>
      <t xml:space="preserve">미만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유휴 인건비</t>
    </r>
  </si>
  <si>
    <r>
      <rPr>
        <sz val="11"/>
        <color rgb="FF000000"/>
        <rFont val="Noto Sans CJK SC"/>
        <family val="2"/>
      </rPr>
      <t xml:space="preserve">해석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영업이익은 거의 전적으로 </t>
    </r>
    <r>
      <rPr>
        <sz val="11"/>
        <color rgb="FF000000"/>
        <rFont val="Arial"/>
        <family val="0"/>
        <charset val="1"/>
      </rPr>
      <t xml:space="preserve">B </t>
    </r>
    <r>
      <rPr>
        <sz val="11"/>
        <color rgb="FF000000"/>
        <rFont val="Noto Sans CJK SC"/>
        <family val="2"/>
      </rPr>
      <t xml:space="preserve">프로그램 수와 인원의 가동률로 결정된다</t>
    </r>
    <r>
      <rPr>
        <sz val="11"/>
        <color rgb="FF000000"/>
        <rFont val="Arial"/>
        <family val="0"/>
        <charset val="1"/>
      </rPr>
      <t xml:space="preserve">. A</t>
    </r>
    <r>
      <rPr>
        <sz val="11"/>
        <color rgb="FF000000"/>
        <rFont val="Noto Sans CJK SC"/>
        <family val="2"/>
      </rPr>
      <t xml:space="preserve">만으로는 인건비를 넘기 어렵고</t>
    </r>
    <r>
      <rPr>
        <sz val="11"/>
        <color rgb="FF000000"/>
        <rFont val="Arial"/>
        <family val="0"/>
        <charset val="1"/>
      </rPr>
      <t xml:space="preserve">, B</t>
    </r>
    <r>
      <rPr>
        <sz val="11"/>
        <color rgb="FF000000"/>
        <rFont val="Noto Sans CJK SC"/>
        <family val="2"/>
      </rPr>
      <t xml:space="preserve">가 연 </t>
    </r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건 이상일 때 흑자 구간에 들어간다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가정치 기준</t>
    </r>
    <r>
      <rPr>
        <sz val="11"/>
        <color rgb="FF000000"/>
        <rFont val="Arial"/>
        <family val="0"/>
        <charset val="1"/>
      </rPr>
      <t xml:space="preserve">).</t>
    </r>
  </si>
  <si>
    <r>
      <rPr>
        <b val="true"/>
        <sz val="13"/>
        <rFont val="Noto Sans CJK SC"/>
        <family val="2"/>
      </rPr>
      <t xml:space="preserve">민감도 — </t>
    </r>
    <r>
      <rPr>
        <b val="true"/>
        <sz val="13"/>
        <rFont val="Arial"/>
        <family val="0"/>
        <charset val="1"/>
      </rPr>
      <t xml:space="preserve">B </t>
    </r>
    <r>
      <rPr>
        <b val="true"/>
        <sz val="13"/>
        <rFont val="Noto Sans CJK SC"/>
        <family val="2"/>
      </rPr>
      <t xml:space="preserve">프로그램 매출총이익률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Noto Sans CJK SC"/>
        <family val="2"/>
      </rPr>
      <t xml:space="preserve">엔지니어 시간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단가</t>
    </r>
  </si>
  <si>
    <r>
      <rPr>
        <sz val="11"/>
        <color rgb="FF000000"/>
        <rFont val="Noto Sans CJK SC"/>
        <family val="2"/>
      </rPr>
      <t xml:space="preserve">행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프로그램당 엔지니어 시간</t>
    </r>
    <r>
      <rPr>
        <sz val="11"/>
        <color rgb="FF000000"/>
        <rFont val="Arial"/>
        <family val="0"/>
        <charset val="1"/>
      </rPr>
      <t xml:space="preserve">(h), </t>
    </r>
    <r>
      <rPr>
        <sz val="11"/>
        <color rgb="FF000000"/>
        <rFont val="Noto Sans CJK SC"/>
        <family val="2"/>
      </rPr>
      <t xml:space="preserve">열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프로그램 단가</t>
    </r>
    <r>
      <rPr>
        <sz val="11"/>
        <color rgb="FF000000"/>
        <rFont val="Arial"/>
        <family val="0"/>
        <charset val="1"/>
      </rPr>
      <t xml:space="preserve">(₩). </t>
    </r>
    <r>
      <rPr>
        <sz val="11"/>
        <color rgb="FF000000"/>
        <rFont val="Noto Sans CJK SC"/>
        <family val="2"/>
      </rPr>
      <t xml:space="preserve">비인건비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기술원</t>
    </r>
    <r>
      <rPr>
        <sz val="11"/>
        <color rgb="FF000000"/>
        <rFont val="Arial"/>
        <family val="0"/>
        <charset val="1"/>
      </rPr>
      <t xml:space="preserve">·PI·</t>
    </r>
    <r>
      <rPr>
        <sz val="11"/>
        <color rgb="FF000000"/>
        <rFont val="Noto Sans CJK SC"/>
        <family val="2"/>
      </rPr>
      <t xml:space="preserve">간접비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예비비는 </t>
    </r>
    <r>
      <rPr>
        <sz val="11"/>
        <color rgb="FF000000"/>
        <rFont val="Arial"/>
        <family val="0"/>
        <charset val="1"/>
      </rPr>
      <t xml:space="preserve">UnitCost_B </t>
    </r>
    <r>
      <rPr>
        <sz val="11"/>
        <color rgb="FF000000"/>
        <rFont val="Noto Sans CJK SC"/>
        <family val="2"/>
      </rPr>
      <t xml:space="preserve">그대로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시간에 비례하는 항목은 인건비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간접비</t>
    </r>
    <r>
      <rPr>
        <sz val="11"/>
        <color rgb="FF000000"/>
        <rFont val="Arial"/>
        <family val="0"/>
        <charset val="1"/>
      </rPr>
      <t xml:space="preserve">).</t>
    </r>
  </si>
  <si>
    <r>
      <rPr>
        <b val="true"/>
        <sz val="11"/>
        <color rgb="FFFFFFFF"/>
        <rFont val="Noto Sans CJK SC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(h) \ </t>
    </r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</si>
  <si>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3"/>
        <rFont val="Noto Sans CJK SC"/>
        <family val="2"/>
      </rPr>
      <t xml:space="preserve">민감도 — </t>
    </r>
    <r>
      <rPr>
        <b val="true"/>
        <sz val="13"/>
        <rFont val="Arial"/>
        <family val="0"/>
        <charset val="1"/>
      </rPr>
      <t xml:space="preserve">A </t>
    </r>
    <r>
      <rPr>
        <b val="true"/>
        <sz val="13"/>
        <rFont val="Noto Sans CJK SC"/>
        <family val="2"/>
      </rPr>
      <t xml:space="preserve">과제 매출총이익률</t>
    </r>
    <r>
      <rPr>
        <b val="true"/>
        <sz val="13"/>
        <rFont val="Arial"/>
        <family val="0"/>
        <charset val="1"/>
      </rPr>
      <t xml:space="preserve">: </t>
    </r>
    <r>
      <rPr>
        <b val="true"/>
        <sz val="13"/>
        <rFont val="Noto Sans CJK SC"/>
        <family val="2"/>
      </rPr>
      <t xml:space="preserve">과제당 케이스 수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단가</t>
    </r>
  </si>
  <si>
    <r>
      <rPr>
        <b val="true"/>
        <sz val="11"/>
        <color rgb="FFFFFFFF"/>
        <rFont val="Noto Sans CJK SC"/>
        <family val="2"/>
      </rPr>
      <t xml:space="preserve">케이스 수 </t>
    </r>
    <r>
      <rPr>
        <b val="true"/>
        <sz val="11"/>
        <color rgb="FFFFFFFF"/>
        <rFont val="Arial"/>
        <family val="0"/>
        <charset val="1"/>
      </rPr>
      <t xml:space="preserve">\ </t>
    </r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</si>
  <si>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sz val="11"/>
        <color rgb="FF000000"/>
        <rFont val="Noto Sans CJK SC"/>
        <family val="2"/>
      </rPr>
      <t xml:space="preserve">읽는 법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음수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원가가 단가를 넘음</t>
    </r>
    <r>
      <rPr>
        <sz val="11"/>
        <color rgb="FF000000"/>
        <rFont val="Arial"/>
        <family val="0"/>
        <charset val="1"/>
      </rPr>
      <t xml:space="preserve">. B</t>
    </r>
    <r>
      <rPr>
        <sz val="11"/>
        <color rgb="FF000000"/>
        <rFont val="Noto Sans CJK SC"/>
        <family val="2"/>
      </rPr>
      <t xml:space="preserve">에서 문서화 시간을 줄이는 것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템플릿 재사용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이 단가 인상과 같은 효과를 낸다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</si>
</sst>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₩#,##0;&quot;(₩&quot;#,##0\);\-"/>
    <numFmt numFmtId="166" formatCode="#,##0.00;\(#,##0.00\);\-"/>
    <numFmt numFmtId="167" formatCode="#,##0;\(#,##0\);\-"/>
    <numFmt numFmtId="168" formatCode="0.0%;\(0.0%\);\-"/>
    <numFmt numFmtId="169" formatCode="#,##0.0;\(#,##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29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20.1" hidden="false" customHeight="false" outlineLevel="0" collapsed="false">
      <c r="A1" s="5" t="s">
        <v>15</v>
      </c>
      <c r="B1" s="6"/>
      <c r="C1" s="6"/>
      <c r="D1" s="6"/>
    </row>
    <row r="2" customFormat="false" ht="17.15" hidden="false" customHeight="false" outlineLevel="0" collapsed="false">
      <c r="A2" s="7" t="s">
        <v>16</v>
      </c>
      <c r="B2" s="6"/>
      <c r="C2" s="6"/>
      <c r="D2" s="6"/>
    </row>
    <row r="3" customFormat="false" ht="17.15" hidden="false" customHeight="false" outlineLevel="0" collapsed="false">
      <c r="A3" s="8" t="s">
        <v>17</v>
      </c>
      <c r="B3" s="8" t="s">
        <v>18</v>
      </c>
      <c r="C3" s="8" t="s">
        <v>19</v>
      </c>
      <c r="D3" s="8" t="s">
        <v>20</v>
      </c>
    </row>
    <row r="4" customFormat="false" ht="17.15" hidden="false" customHeight="false" outlineLevel="0" collapsed="false">
      <c r="A4" s="9" t="s">
        <v>21</v>
      </c>
      <c r="B4" s="6"/>
      <c r="C4" s="6"/>
      <c r="D4" s="6"/>
    </row>
    <row r="5" customFormat="false" ht="17.15" hidden="false" customHeight="false" outlineLevel="0" collapsed="false">
      <c r="A5" s="10" t="s">
        <v>22</v>
      </c>
      <c r="B5" s="11" t="n">
        <v>55000000</v>
      </c>
      <c r="C5" s="12" t="s">
        <v>23</v>
      </c>
      <c r="D5" s="12" t="s">
        <v>24</v>
      </c>
    </row>
    <row r="6" customFormat="false" ht="17.15" hidden="false" customHeight="false" outlineLevel="0" collapsed="false">
      <c r="A6" s="10" t="s">
        <v>25</v>
      </c>
      <c r="B6" s="13" t="n">
        <v>1.2</v>
      </c>
      <c r="C6" s="10" t="s">
        <v>26</v>
      </c>
      <c r="D6" s="12" t="s">
        <v>27</v>
      </c>
    </row>
    <row r="7" customFormat="false" ht="17.15" hidden="false" customHeight="false" outlineLevel="0" collapsed="false">
      <c r="A7" s="10" t="s">
        <v>28</v>
      </c>
      <c r="B7" s="14" t="n">
        <v>1600</v>
      </c>
      <c r="C7" s="12" t="s">
        <v>29</v>
      </c>
      <c r="D7" s="12" t="s">
        <v>30</v>
      </c>
    </row>
    <row r="8" customFormat="false" ht="17.15" hidden="false" customHeight="false" outlineLevel="0" collapsed="false">
      <c r="A8" s="10" t="s">
        <v>31</v>
      </c>
      <c r="B8" s="15" t="n">
        <f aca="false">Inputs!$B$5*Inputs!$B$6/Inputs!$B$7</f>
        <v>41250</v>
      </c>
      <c r="C8" s="12" t="s">
        <v>32</v>
      </c>
      <c r="D8" s="10" t="s">
        <v>33</v>
      </c>
    </row>
    <row r="9" customFormat="false" ht="17.15" hidden="false" customHeight="false" outlineLevel="0" collapsed="false">
      <c r="A9" s="12" t="s">
        <v>34</v>
      </c>
      <c r="B9" s="11" t="n">
        <v>80000</v>
      </c>
      <c r="C9" s="12" t="s">
        <v>32</v>
      </c>
      <c r="D9" s="12" t="s">
        <v>35</v>
      </c>
    </row>
    <row r="10" customFormat="false" ht="17.15" hidden="false" customHeight="false" outlineLevel="0" collapsed="false">
      <c r="A10" s="10" t="s">
        <v>36</v>
      </c>
      <c r="B10" s="11" t="n">
        <v>25000</v>
      </c>
      <c r="C10" s="12" t="s">
        <v>32</v>
      </c>
      <c r="D10" s="12" t="s">
        <v>37</v>
      </c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7.15" hidden="false" customHeight="false" outlineLevel="0" collapsed="false">
      <c r="A12" s="9" t="s">
        <v>38</v>
      </c>
      <c r="B12" s="6"/>
      <c r="C12" s="6"/>
      <c r="D12" s="6"/>
    </row>
    <row r="13" customFormat="false" ht="17.15" hidden="false" customHeight="false" outlineLevel="0" collapsed="false">
      <c r="A13" s="10" t="s">
        <v>39</v>
      </c>
      <c r="B13" s="11" t="n">
        <v>200000</v>
      </c>
      <c r="C13" s="12" t="s">
        <v>40</v>
      </c>
      <c r="D13" s="12" t="s">
        <v>41</v>
      </c>
    </row>
    <row r="14" customFormat="false" ht="17.15" hidden="false" customHeight="false" outlineLevel="0" collapsed="false">
      <c r="A14" s="10" t="s">
        <v>42</v>
      </c>
      <c r="B14" s="13" t="n">
        <v>1.1</v>
      </c>
      <c r="C14" s="12" t="s">
        <v>43</v>
      </c>
      <c r="D14" s="12" t="s">
        <v>44</v>
      </c>
    </row>
    <row r="15" customFormat="false" ht="17.15" hidden="false" customHeight="false" outlineLevel="0" collapsed="false">
      <c r="A15" s="12" t="s">
        <v>45</v>
      </c>
      <c r="B15" s="11" t="n">
        <v>60000</v>
      </c>
      <c r="C15" s="12" t="s">
        <v>40</v>
      </c>
      <c r="D15" s="12" t="s">
        <v>37</v>
      </c>
    </row>
    <row r="16" customFormat="false" ht="17.15" hidden="false" customHeight="false" outlineLevel="0" collapsed="false">
      <c r="A16" s="10" t="s">
        <v>46</v>
      </c>
      <c r="B16" s="13" t="n">
        <v>0.2</v>
      </c>
      <c r="C16" s="12" t="s">
        <v>43</v>
      </c>
      <c r="D16" s="12" t="s">
        <v>47</v>
      </c>
    </row>
    <row r="17" customFormat="false" ht="17.15" hidden="false" customHeight="false" outlineLevel="0" collapsed="false">
      <c r="A17" s="12" t="s">
        <v>48</v>
      </c>
      <c r="B17" s="11" t="n">
        <v>30000</v>
      </c>
      <c r="C17" s="12" t="s">
        <v>40</v>
      </c>
      <c r="D17" s="12" t="s">
        <v>37</v>
      </c>
    </row>
    <row r="18" customFormat="false" ht="17.15" hidden="false" customHeight="false" outlineLevel="0" collapsed="false">
      <c r="A18" s="10" t="s">
        <v>49</v>
      </c>
      <c r="B18" s="13" t="n">
        <v>0.35</v>
      </c>
      <c r="C18" s="12" t="s">
        <v>43</v>
      </c>
      <c r="D18" s="12" t="s">
        <v>50</v>
      </c>
    </row>
    <row r="19" customFormat="false" ht="17.15" hidden="false" customHeight="false" outlineLevel="0" collapsed="false">
      <c r="A19" s="10" t="s">
        <v>51</v>
      </c>
      <c r="B19" s="11" t="n">
        <v>60000</v>
      </c>
      <c r="C19" s="12" t="s">
        <v>52</v>
      </c>
      <c r="D19" s="12" t="s">
        <v>53</v>
      </c>
    </row>
    <row r="20" customFormat="false" ht="17.15" hidden="false" customHeight="false" outlineLevel="0" collapsed="false">
      <c r="A20" s="10" t="s">
        <v>54</v>
      </c>
      <c r="B20" s="15" t="n">
        <f aca="false">Inputs!$B$13*Inputs!$B$14+Inputs!$B$15*Inputs!$B$16+Inputs!$B$17*Inputs!$B$18+Inputs!$B$19</f>
        <v>302500</v>
      </c>
      <c r="C20" s="12" t="s">
        <v>55</v>
      </c>
      <c r="D20" s="10" t="s">
        <v>56</v>
      </c>
    </row>
    <row r="21" customFormat="false" ht="15" hidden="false" customHeight="false" outlineLevel="0" collapsed="false">
      <c r="A21" s="6"/>
      <c r="B21" s="6"/>
      <c r="C21" s="6"/>
      <c r="D21" s="6"/>
    </row>
    <row r="22" customFormat="false" ht="17.15" hidden="false" customHeight="false" outlineLevel="0" collapsed="false">
      <c r="A22" s="9" t="s">
        <v>57</v>
      </c>
      <c r="B22" s="6"/>
      <c r="C22" s="6"/>
      <c r="D22" s="6"/>
    </row>
    <row r="23" customFormat="false" ht="17.15" hidden="false" customHeight="false" outlineLevel="0" collapsed="false">
      <c r="A23" s="12" t="s">
        <v>58</v>
      </c>
      <c r="B23" s="11" t="n">
        <v>3000000</v>
      </c>
      <c r="C23" s="12" t="s">
        <v>55</v>
      </c>
      <c r="D23" s="12" t="s">
        <v>59</v>
      </c>
    </row>
    <row r="24" customFormat="false" ht="17.15" hidden="false" customHeight="false" outlineLevel="0" collapsed="false">
      <c r="A24" s="10" t="s">
        <v>60</v>
      </c>
      <c r="B24" s="14" t="n">
        <v>5000</v>
      </c>
      <c r="C24" s="12" t="s">
        <v>61</v>
      </c>
      <c r="D24" s="12" t="s">
        <v>37</v>
      </c>
    </row>
    <row r="25" customFormat="false" ht="17.15" hidden="false" customHeight="false" outlineLevel="0" collapsed="false">
      <c r="A25" s="10" t="s">
        <v>62</v>
      </c>
      <c r="B25" s="15" t="n">
        <f aca="false">Inputs!$B$23/Inputs!$B$24</f>
        <v>600</v>
      </c>
      <c r="C25" s="12" t="s">
        <v>32</v>
      </c>
      <c r="D25" s="10" t="s">
        <v>63</v>
      </c>
    </row>
    <row r="26" customFormat="false" ht="17.15" hidden="false" customHeight="false" outlineLevel="0" collapsed="false">
      <c r="A26" s="10" t="s">
        <v>64</v>
      </c>
      <c r="B26" s="11" t="n">
        <v>4000000</v>
      </c>
      <c r="C26" s="12" t="s">
        <v>55</v>
      </c>
      <c r="D26" s="12" t="s">
        <v>65</v>
      </c>
    </row>
    <row r="27" customFormat="false" ht="17.15" hidden="false" customHeight="false" outlineLevel="0" collapsed="false">
      <c r="A27" s="10" t="s">
        <v>66</v>
      </c>
      <c r="B27" s="14" t="n">
        <v>3</v>
      </c>
      <c r="C27" s="10" t="s">
        <v>67</v>
      </c>
      <c r="D27" s="12" t="s">
        <v>37</v>
      </c>
    </row>
    <row r="28" customFormat="false" ht="17.15" hidden="false" customHeight="false" outlineLevel="0" collapsed="false">
      <c r="A28" s="10" t="s">
        <v>68</v>
      </c>
      <c r="B28" s="14" t="n">
        <v>2000</v>
      </c>
      <c r="C28" s="12" t="s">
        <v>29</v>
      </c>
      <c r="D28" s="12" t="s">
        <v>37</v>
      </c>
    </row>
    <row r="29" customFormat="false" ht="17.15" hidden="false" customHeight="false" outlineLevel="0" collapsed="false">
      <c r="A29" s="10" t="s">
        <v>69</v>
      </c>
      <c r="B29" s="15" t="n">
        <f aca="false">Inputs!$B$26/(Inputs!$B$27*Inputs!$B$28)</f>
        <v>666.666666666667</v>
      </c>
      <c r="C29" s="12" t="s">
        <v>32</v>
      </c>
      <c r="D29" s="10" t="s">
        <v>70</v>
      </c>
    </row>
    <row r="30" customFormat="false" ht="17.15" hidden="false" customHeight="false" outlineLevel="0" collapsed="false">
      <c r="A30" s="10" t="s">
        <v>71</v>
      </c>
      <c r="B30" s="16" t="n">
        <v>150000000</v>
      </c>
      <c r="C30" s="12" t="s">
        <v>55</v>
      </c>
      <c r="D30" s="12" t="s">
        <v>72</v>
      </c>
    </row>
    <row r="31" customFormat="false" ht="17.15" hidden="false" customHeight="false" outlineLevel="0" collapsed="false">
      <c r="A31" s="10" t="s">
        <v>73</v>
      </c>
      <c r="B31" s="14" t="n">
        <v>7</v>
      </c>
      <c r="C31" s="10" t="s">
        <v>67</v>
      </c>
      <c r="D31" s="12" t="s">
        <v>37</v>
      </c>
    </row>
    <row r="32" customFormat="false" ht="17.15" hidden="false" customHeight="false" outlineLevel="0" collapsed="false">
      <c r="A32" s="10" t="s">
        <v>74</v>
      </c>
      <c r="B32" s="14" t="n">
        <v>40</v>
      </c>
      <c r="C32" s="10" t="s">
        <v>75</v>
      </c>
      <c r="D32" s="12" t="s">
        <v>37</v>
      </c>
    </row>
    <row r="33" customFormat="false" ht="17.15" hidden="false" customHeight="false" outlineLevel="0" collapsed="false">
      <c r="A33" s="10" t="s">
        <v>76</v>
      </c>
      <c r="B33" s="15" t="n">
        <f aca="false">Inputs!$B$30/(Inputs!$B$31*Inputs!$B$32)</f>
        <v>535714.285714286</v>
      </c>
      <c r="C33" s="12" t="s">
        <v>77</v>
      </c>
      <c r="D33" s="10" t="s">
        <v>78</v>
      </c>
    </row>
    <row r="34" customFormat="false" ht="15" hidden="false" customHeight="false" outlineLevel="0" collapsed="false">
      <c r="A34" s="6"/>
      <c r="B34" s="6"/>
      <c r="C34" s="6"/>
      <c r="D34" s="6"/>
    </row>
    <row r="35" customFormat="false" ht="17.15" hidden="false" customHeight="false" outlineLevel="0" collapsed="false">
      <c r="A35" s="9" t="s">
        <v>79</v>
      </c>
      <c r="B35" s="6"/>
      <c r="C35" s="6"/>
      <c r="D35" s="6"/>
    </row>
    <row r="36" customFormat="false" ht="17.15" hidden="false" customHeight="false" outlineLevel="0" collapsed="false">
      <c r="A36" s="10" t="s">
        <v>80</v>
      </c>
      <c r="B36" s="17" t="n">
        <v>0.25</v>
      </c>
      <c r="C36" s="12" t="s">
        <v>81</v>
      </c>
      <c r="D36" s="12" t="s">
        <v>82</v>
      </c>
    </row>
    <row r="37" customFormat="false" ht="17.15" hidden="false" customHeight="false" outlineLevel="0" collapsed="false">
      <c r="A37" s="10" t="s">
        <v>83</v>
      </c>
      <c r="B37" s="17" t="n">
        <v>0.1</v>
      </c>
      <c r="C37" s="12" t="s">
        <v>81</v>
      </c>
      <c r="D37" s="12" t="s">
        <v>84</v>
      </c>
    </row>
    <row r="38" customFormat="false" ht="15" hidden="false" customHeight="false" outlineLevel="0" collapsed="false">
      <c r="A38" s="6"/>
      <c r="B38" s="6"/>
      <c r="C38" s="6"/>
      <c r="D38" s="6"/>
    </row>
    <row r="39" customFormat="false" ht="17.15" hidden="false" customHeight="false" outlineLevel="0" collapsed="false">
      <c r="A39" s="9" t="s">
        <v>85</v>
      </c>
      <c r="B39" s="6"/>
      <c r="C39" s="6"/>
      <c r="D39" s="6"/>
    </row>
    <row r="40" customFormat="false" ht="17.15" hidden="false" customHeight="false" outlineLevel="0" collapsed="false">
      <c r="A40" s="12" t="s">
        <v>86</v>
      </c>
      <c r="B40" s="16" t="n">
        <v>30000000</v>
      </c>
      <c r="C40" s="12" t="s">
        <v>87</v>
      </c>
      <c r="D40" s="12" t="s">
        <v>88</v>
      </c>
    </row>
    <row r="41" customFormat="false" ht="17.15" hidden="false" customHeight="false" outlineLevel="0" collapsed="false">
      <c r="A41" s="12" t="s">
        <v>89</v>
      </c>
      <c r="B41" s="14" t="n">
        <v>3</v>
      </c>
      <c r="C41" s="10" t="s">
        <v>90</v>
      </c>
      <c r="D41" s="12" t="s">
        <v>37</v>
      </c>
    </row>
    <row r="42" customFormat="false" ht="17.15" hidden="false" customHeight="false" outlineLevel="0" collapsed="false">
      <c r="A42" s="12" t="s">
        <v>91</v>
      </c>
      <c r="B42" s="18" t="n">
        <v>100</v>
      </c>
      <c r="C42" s="12" t="s">
        <v>61</v>
      </c>
      <c r="D42" s="12" t="s">
        <v>92</v>
      </c>
    </row>
    <row r="43" customFormat="false" ht="17.15" hidden="false" customHeight="false" outlineLevel="0" collapsed="false">
      <c r="A43" s="12" t="s">
        <v>93</v>
      </c>
      <c r="B43" s="18" t="n">
        <v>20</v>
      </c>
      <c r="C43" s="12" t="s">
        <v>61</v>
      </c>
      <c r="D43" s="12" t="s">
        <v>37</v>
      </c>
    </row>
    <row r="44" customFormat="false" ht="15" hidden="false" customHeight="false" outlineLevel="0" collapsed="false">
      <c r="A44" s="6"/>
      <c r="B44" s="6"/>
      <c r="C44" s="6"/>
      <c r="D44" s="6"/>
    </row>
    <row r="45" customFormat="false" ht="17.15" hidden="false" customHeight="false" outlineLevel="0" collapsed="false">
      <c r="A45" s="9" t="s">
        <v>94</v>
      </c>
      <c r="B45" s="6"/>
      <c r="C45" s="6"/>
      <c r="D45" s="6"/>
    </row>
    <row r="46" customFormat="false" ht="17.15" hidden="false" customHeight="false" outlineLevel="0" collapsed="false">
      <c r="A46" s="12" t="s">
        <v>95</v>
      </c>
      <c r="B46" s="16" t="n">
        <v>200000000</v>
      </c>
      <c r="C46" s="12" t="s">
        <v>96</v>
      </c>
      <c r="D46" s="12" t="s">
        <v>97</v>
      </c>
    </row>
    <row r="47" customFormat="false" ht="17.15" hidden="false" customHeight="false" outlineLevel="0" collapsed="false">
      <c r="A47" s="12" t="s">
        <v>98</v>
      </c>
      <c r="B47" s="14" t="n">
        <v>5</v>
      </c>
      <c r="C47" s="10" t="s">
        <v>90</v>
      </c>
      <c r="D47" s="12" t="s">
        <v>99</v>
      </c>
    </row>
    <row r="48" customFormat="false" ht="17.15" hidden="false" customHeight="false" outlineLevel="0" collapsed="false">
      <c r="A48" s="12" t="s">
        <v>100</v>
      </c>
      <c r="B48" s="18" t="n">
        <v>80</v>
      </c>
      <c r="C48" s="12" t="s">
        <v>61</v>
      </c>
      <c r="D48" s="12" t="s">
        <v>37</v>
      </c>
    </row>
    <row r="49" customFormat="false" ht="17.15" hidden="false" customHeight="false" outlineLevel="0" collapsed="false">
      <c r="A49" s="12" t="s">
        <v>101</v>
      </c>
      <c r="B49" s="14" t="n">
        <v>6</v>
      </c>
      <c r="C49" s="10" t="s">
        <v>102</v>
      </c>
      <c r="D49" s="12" t="s">
        <v>103</v>
      </c>
    </row>
    <row r="50" customFormat="false" ht="17.15" hidden="false" customHeight="false" outlineLevel="0" collapsed="false">
      <c r="A50" s="12" t="s">
        <v>104</v>
      </c>
      <c r="B50" s="11" t="n">
        <v>5000000</v>
      </c>
      <c r="C50" s="12" t="s">
        <v>55</v>
      </c>
      <c r="D50" s="12" t="s">
        <v>37</v>
      </c>
    </row>
    <row r="51" customFormat="false" ht="17.15" hidden="false" customHeight="false" outlineLevel="0" collapsed="false">
      <c r="A51" s="12" t="s">
        <v>105</v>
      </c>
      <c r="B51" s="11" t="n">
        <v>1500000</v>
      </c>
      <c r="C51" s="12" t="s">
        <v>55</v>
      </c>
      <c r="D51" s="12" t="s">
        <v>37</v>
      </c>
    </row>
    <row r="52" customFormat="false" ht="15" hidden="false" customHeight="false" outlineLevel="0" collapsed="false">
      <c r="A52" s="6"/>
      <c r="B52" s="6"/>
      <c r="C52" s="6"/>
      <c r="D52" s="6"/>
    </row>
    <row r="53" customFormat="false" ht="17.15" hidden="false" customHeight="false" outlineLevel="0" collapsed="false">
      <c r="A53" s="9" t="s">
        <v>106</v>
      </c>
      <c r="B53" s="6"/>
      <c r="C53" s="6"/>
      <c r="D53" s="6"/>
    </row>
    <row r="54" customFormat="false" ht="17.15" hidden="false" customHeight="false" outlineLevel="0" collapsed="false">
      <c r="A54" s="12" t="s">
        <v>107</v>
      </c>
      <c r="B54" s="16" t="n">
        <v>1000000</v>
      </c>
      <c r="C54" s="12" t="s">
        <v>108</v>
      </c>
      <c r="D54" s="12" t="s">
        <v>109</v>
      </c>
    </row>
    <row r="55" customFormat="false" ht="17.15" hidden="false" customHeight="false" outlineLevel="0" collapsed="false">
      <c r="A55" s="12" t="s">
        <v>110</v>
      </c>
      <c r="B55" s="18" t="n">
        <v>3</v>
      </c>
      <c r="C55" s="12" t="s">
        <v>61</v>
      </c>
      <c r="D55" s="12" t="s">
        <v>111</v>
      </c>
    </row>
    <row r="56" customFormat="false" ht="17.15" hidden="false" customHeight="false" outlineLevel="0" collapsed="false">
      <c r="A56" s="12" t="s">
        <v>112</v>
      </c>
      <c r="B56" s="11" t="n">
        <v>10000</v>
      </c>
      <c r="C56" s="12" t="s">
        <v>108</v>
      </c>
      <c r="D56" s="12" t="s">
        <v>37</v>
      </c>
    </row>
    <row r="57" customFormat="false" ht="17.15" hidden="false" customHeight="false" outlineLevel="0" collapsed="false">
      <c r="A57" s="12" t="s">
        <v>113</v>
      </c>
      <c r="B57" s="16" t="n">
        <v>300000000</v>
      </c>
      <c r="C57" s="12" t="s">
        <v>23</v>
      </c>
      <c r="D57" s="12" t="s">
        <v>114</v>
      </c>
    </row>
    <row r="58" customFormat="false" ht="17.15" hidden="false" customHeight="false" outlineLevel="0" collapsed="false">
      <c r="A58" s="12" t="s">
        <v>115</v>
      </c>
      <c r="B58" s="16" t="n">
        <v>500000000</v>
      </c>
      <c r="C58" s="12" t="s">
        <v>55</v>
      </c>
      <c r="D58" s="12" t="s">
        <v>116</v>
      </c>
    </row>
    <row r="59" customFormat="false" ht="17.15" hidden="false" customHeight="false" outlineLevel="0" collapsed="false">
      <c r="A59" s="12" t="s">
        <v>117</v>
      </c>
      <c r="B59" s="14" t="n">
        <v>5</v>
      </c>
      <c r="C59" s="10" t="s">
        <v>67</v>
      </c>
      <c r="D59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50"/>
  </cols>
  <sheetData>
    <row r="1" customFormat="false" ht="20.1" hidden="false" customHeight="false" outlineLevel="0" collapsed="false">
      <c r="A1" s="19" t="s">
        <v>118</v>
      </c>
      <c r="B1" s="6"/>
      <c r="C1" s="6"/>
      <c r="D1" s="6"/>
      <c r="E1" s="6"/>
    </row>
    <row r="2" customFormat="false" ht="17.15" hidden="false" customHeight="false" outlineLevel="0" collapsed="false">
      <c r="A2" s="7" t="s">
        <v>119</v>
      </c>
      <c r="B2" s="6"/>
      <c r="C2" s="6"/>
      <c r="D2" s="6"/>
      <c r="E2" s="6"/>
    </row>
    <row r="3" customFormat="false" ht="15" hidden="false" customHeight="false" outlineLevel="0" collapsed="false">
      <c r="A3" s="6"/>
      <c r="B3" s="6"/>
      <c r="C3" s="6"/>
      <c r="D3" s="6"/>
      <c r="E3" s="6"/>
    </row>
    <row r="4" customFormat="false" ht="17.15" hidden="false" customHeight="false" outlineLevel="0" collapsed="false">
      <c r="A4" s="8" t="s">
        <v>120</v>
      </c>
      <c r="B4" s="8" t="s">
        <v>121</v>
      </c>
      <c r="C4" s="8" t="s">
        <v>122</v>
      </c>
      <c r="D4" s="8" t="s">
        <v>123</v>
      </c>
      <c r="E4" s="8" t="s">
        <v>124</v>
      </c>
    </row>
    <row r="5" customFormat="false" ht="17.15" hidden="false" customHeight="false" outlineLevel="0" collapsed="false">
      <c r="A5" s="20" t="s">
        <v>125</v>
      </c>
      <c r="B5" s="21" t="n">
        <v>2</v>
      </c>
      <c r="C5" s="22" t="n">
        <f aca="false">Inputs!$B$8</f>
        <v>41250</v>
      </c>
      <c r="D5" s="23" t="n">
        <f aca="false">B5*C5</f>
        <v>82500</v>
      </c>
      <c r="E5" s="7" t="s">
        <v>126</v>
      </c>
    </row>
    <row r="6" customFormat="false" ht="17.15" hidden="false" customHeight="false" outlineLevel="0" collapsed="false">
      <c r="A6" s="7" t="s">
        <v>127</v>
      </c>
      <c r="B6" s="21" t="n">
        <v>3</v>
      </c>
      <c r="C6" s="22" t="n">
        <f aca="false">Inputs!$B$8</f>
        <v>41250</v>
      </c>
      <c r="D6" s="23" t="n">
        <f aca="false">B6*C6</f>
        <v>123750</v>
      </c>
      <c r="E6" s="20" t="s">
        <v>128</v>
      </c>
    </row>
    <row r="7" customFormat="false" ht="17.15" hidden="false" customHeight="false" outlineLevel="0" collapsed="false">
      <c r="A7" s="7" t="s">
        <v>129</v>
      </c>
      <c r="B7" s="21" t="n">
        <v>4</v>
      </c>
      <c r="C7" s="22" t="n">
        <f aca="false">Inputs!$B$8</f>
        <v>41250</v>
      </c>
      <c r="D7" s="23" t="n">
        <f aca="false">B7*C7</f>
        <v>165000</v>
      </c>
      <c r="E7" s="20" t="s">
        <v>130</v>
      </c>
    </row>
    <row r="8" customFormat="false" ht="17.15" hidden="false" customHeight="false" outlineLevel="0" collapsed="false">
      <c r="A8" s="7" t="s">
        <v>131</v>
      </c>
      <c r="B8" s="21" t="n">
        <v>6</v>
      </c>
      <c r="C8" s="22" t="n">
        <f aca="false">Inputs!$B$8</f>
        <v>41250</v>
      </c>
      <c r="D8" s="23" t="n">
        <f aca="false">B8*C8</f>
        <v>247500</v>
      </c>
      <c r="E8" s="7" t="s">
        <v>132</v>
      </c>
    </row>
    <row r="9" customFormat="false" ht="17.15" hidden="false" customHeight="false" outlineLevel="0" collapsed="false">
      <c r="A9" s="7" t="s">
        <v>133</v>
      </c>
      <c r="B9" s="21" t="n">
        <v>6</v>
      </c>
      <c r="C9" s="22" t="n">
        <f aca="false">Inputs!$B$10</f>
        <v>25000</v>
      </c>
      <c r="D9" s="23" t="n">
        <f aca="false">B9*C9</f>
        <v>150000</v>
      </c>
      <c r="E9" s="7" t="s">
        <v>134</v>
      </c>
    </row>
    <row r="10" customFormat="false" ht="17.15" hidden="false" customHeight="false" outlineLevel="0" collapsed="false">
      <c r="A10" s="20" t="s">
        <v>135</v>
      </c>
      <c r="B10" s="21" t="n">
        <v>12</v>
      </c>
      <c r="C10" s="22" t="n">
        <f aca="false">Inputs!$B$8</f>
        <v>41250</v>
      </c>
      <c r="D10" s="23" t="n">
        <f aca="false">B10*C10</f>
        <v>495000</v>
      </c>
      <c r="E10" s="20" t="s">
        <v>136</v>
      </c>
    </row>
    <row r="11" customFormat="false" ht="17.15" hidden="false" customHeight="false" outlineLevel="0" collapsed="false">
      <c r="A11" s="7" t="s">
        <v>137</v>
      </c>
      <c r="B11" s="21" t="n">
        <v>8</v>
      </c>
      <c r="C11" s="22" t="n">
        <f aca="false">Inputs!$B$8</f>
        <v>41250</v>
      </c>
      <c r="D11" s="23" t="n">
        <f aca="false">B11*C11</f>
        <v>330000</v>
      </c>
      <c r="E11" s="7" t="s">
        <v>138</v>
      </c>
    </row>
    <row r="12" customFormat="false" ht="17.15" hidden="false" customHeight="false" outlineLevel="0" collapsed="false">
      <c r="A12" s="20" t="s">
        <v>139</v>
      </c>
      <c r="B12" s="21" t="n">
        <v>2</v>
      </c>
      <c r="C12" s="22" t="n">
        <f aca="false">Inputs!$B$9</f>
        <v>80000</v>
      </c>
      <c r="D12" s="23" t="n">
        <f aca="false">B12*C12</f>
        <v>160000</v>
      </c>
      <c r="E12" s="7"/>
    </row>
    <row r="13" customFormat="false" ht="15" hidden="false" customHeight="false" outlineLevel="0" collapsed="false">
      <c r="A13" s="24" t="s">
        <v>140</v>
      </c>
      <c r="B13" s="25" t="n">
        <f aca="false">SUM(B5:B12)</f>
        <v>43</v>
      </c>
      <c r="C13" s="6"/>
      <c r="D13" s="23" t="n">
        <f aca="false">SUM(D5:D12)</f>
        <v>1753750</v>
      </c>
      <c r="E13" s="6"/>
    </row>
    <row r="14" customFormat="false" ht="15" hidden="false" customHeight="false" outlineLevel="0" collapsed="false">
      <c r="A14" s="6"/>
      <c r="B14" s="6"/>
      <c r="C14" s="6"/>
      <c r="D14" s="6"/>
      <c r="E14" s="6"/>
    </row>
    <row r="15" customFormat="false" ht="17.15" hidden="false" customHeight="false" outlineLevel="0" collapsed="false">
      <c r="A15" s="8" t="s">
        <v>141</v>
      </c>
      <c r="B15" s="8" t="s">
        <v>142</v>
      </c>
      <c r="C15" s="8" t="s">
        <v>143</v>
      </c>
      <c r="D15" s="8" t="s">
        <v>123</v>
      </c>
      <c r="E15" s="8" t="s">
        <v>124</v>
      </c>
    </row>
    <row r="16" customFormat="false" ht="17.15" hidden="false" customHeight="false" outlineLevel="0" collapsed="false">
      <c r="A16" s="7" t="s">
        <v>144</v>
      </c>
      <c r="B16" s="26" t="n">
        <v>1</v>
      </c>
      <c r="C16" s="22" t="n">
        <f aca="false">Inputs!$B$20</f>
        <v>302500</v>
      </c>
      <c r="D16" s="23" t="n">
        <f aca="false">B16*C16</f>
        <v>302500</v>
      </c>
      <c r="E16" s="20" t="s">
        <v>145</v>
      </c>
    </row>
    <row r="17" customFormat="false" ht="17.15" hidden="false" customHeight="false" outlineLevel="0" collapsed="false">
      <c r="A17" s="7" t="s">
        <v>146</v>
      </c>
      <c r="B17" s="21" t="n">
        <v>45</v>
      </c>
      <c r="C17" s="22" t="n">
        <f aca="false">Inputs!$B$25</f>
        <v>600</v>
      </c>
      <c r="D17" s="23" t="n">
        <f aca="false">B17*C17</f>
        <v>27000</v>
      </c>
      <c r="E17" s="20" t="s">
        <v>147</v>
      </c>
    </row>
    <row r="18" customFormat="false" ht="17.15" hidden="false" customHeight="false" outlineLevel="0" collapsed="false">
      <c r="A18" s="7" t="s">
        <v>148</v>
      </c>
      <c r="B18" s="21" t="n">
        <v>30</v>
      </c>
      <c r="C18" s="22" t="n">
        <f aca="false">Inputs!$B$29</f>
        <v>666.666666666667</v>
      </c>
      <c r="D18" s="23" t="n">
        <f aca="false">B18*C18</f>
        <v>20000</v>
      </c>
      <c r="E18" s="20" t="s">
        <v>149</v>
      </c>
    </row>
    <row r="19" customFormat="false" ht="15" hidden="false" customHeight="false" outlineLevel="0" collapsed="false">
      <c r="A19" s="24" t="s">
        <v>150</v>
      </c>
      <c r="B19" s="6"/>
      <c r="C19" s="6"/>
      <c r="D19" s="23" t="n">
        <f aca="false">SUM(D16:D18)</f>
        <v>349500</v>
      </c>
      <c r="E19" s="6"/>
    </row>
    <row r="20" customFormat="false" ht="15" hidden="false" customHeight="false" outlineLevel="0" collapsed="false">
      <c r="A20" s="6"/>
      <c r="B20" s="6"/>
      <c r="C20" s="6"/>
      <c r="D20" s="6"/>
      <c r="E20" s="6"/>
    </row>
    <row r="21" customFormat="false" ht="17.15" hidden="false" customHeight="false" outlineLevel="0" collapsed="false">
      <c r="A21" s="24" t="s">
        <v>151</v>
      </c>
      <c r="B21" s="6"/>
      <c r="C21" s="6"/>
      <c r="D21" s="23" t="n">
        <f aca="false">D13+D19</f>
        <v>2103250</v>
      </c>
      <c r="E21" s="6"/>
    </row>
    <row r="22" customFormat="false" ht="17.15" hidden="false" customHeight="false" outlineLevel="0" collapsed="false">
      <c r="A22" s="7" t="s">
        <v>152</v>
      </c>
      <c r="B22" s="6"/>
      <c r="C22" s="6"/>
      <c r="D22" s="23" t="n">
        <f aca="false">D13*Inputs!$B$36</f>
        <v>438437.5</v>
      </c>
      <c r="E22" s="6"/>
    </row>
    <row r="23" customFormat="false" ht="17.15" hidden="false" customHeight="false" outlineLevel="0" collapsed="false">
      <c r="A23" s="7" t="s">
        <v>153</v>
      </c>
      <c r="B23" s="6"/>
      <c r="C23" s="6"/>
      <c r="D23" s="23" t="n">
        <f aca="false">D21*Inputs!$B$37</f>
        <v>210325</v>
      </c>
      <c r="E23" s="6"/>
    </row>
    <row r="24" customFormat="false" ht="17.15" hidden="false" customHeight="false" outlineLevel="0" collapsed="false">
      <c r="A24" s="24" t="s">
        <v>154</v>
      </c>
      <c r="B24" s="6"/>
      <c r="C24" s="6"/>
      <c r="D24" s="27" t="n">
        <f aca="false">D21+D22+D23</f>
        <v>2752012.5</v>
      </c>
      <c r="E24" s="6"/>
    </row>
    <row r="25" customFormat="false" ht="15" hidden="false" customHeight="false" outlineLevel="0" collapsed="false">
      <c r="A25" s="6"/>
      <c r="B25" s="6"/>
      <c r="C25" s="6"/>
      <c r="D25" s="6"/>
      <c r="E25" s="6"/>
    </row>
    <row r="26" customFormat="false" ht="17.15" hidden="false" customHeight="false" outlineLevel="0" collapsed="false">
      <c r="A26" s="28" t="s">
        <v>155</v>
      </c>
      <c r="B26" s="6"/>
      <c r="C26" s="6"/>
      <c r="D26" s="6"/>
      <c r="E26" s="6"/>
    </row>
    <row r="27" customFormat="false" ht="17.15" hidden="false" customHeight="false" outlineLevel="0" collapsed="false">
      <c r="A27" s="8" t="s">
        <v>17</v>
      </c>
      <c r="B27" s="8" t="s">
        <v>142</v>
      </c>
      <c r="C27" s="8" t="s">
        <v>143</v>
      </c>
      <c r="D27" s="8" t="s">
        <v>123</v>
      </c>
      <c r="E27" s="8" t="s">
        <v>124</v>
      </c>
    </row>
    <row r="28" customFormat="false" ht="17.15" hidden="false" customHeight="false" outlineLevel="0" collapsed="false">
      <c r="A28" s="7" t="s">
        <v>156</v>
      </c>
      <c r="B28" s="29" t="n">
        <f aca="false">Inputs!$B$41</f>
        <v>3</v>
      </c>
      <c r="C28" s="23" t="n">
        <f aca="false">D24</f>
        <v>2752012.5</v>
      </c>
      <c r="D28" s="23" t="n">
        <f aca="false">B28*C28</f>
        <v>8256037.5</v>
      </c>
      <c r="E28" s="6"/>
    </row>
    <row r="29" customFormat="false" ht="17.15" hidden="false" customHeight="false" outlineLevel="0" collapsed="false">
      <c r="A29" s="7" t="s">
        <v>157</v>
      </c>
      <c r="B29" s="30" t="n">
        <f aca="false">Inputs!$B$42</f>
        <v>100</v>
      </c>
      <c r="C29" s="23" t="n">
        <f aca="false">Inputs!$B$8*(1+Inputs!$B$36)</f>
        <v>51562.5</v>
      </c>
      <c r="D29" s="23" t="n">
        <f aca="false">B29*C29</f>
        <v>5156250</v>
      </c>
      <c r="E29" s="7" t="s">
        <v>158</v>
      </c>
    </row>
    <row r="30" customFormat="false" ht="17.15" hidden="false" customHeight="false" outlineLevel="0" collapsed="false">
      <c r="A30" s="7" t="s">
        <v>159</v>
      </c>
      <c r="B30" s="30" t="n">
        <f aca="false">Inputs!$B$43</f>
        <v>20</v>
      </c>
      <c r="C30" s="23" t="n">
        <f aca="false">Inputs!$B$8*(1+Inputs!$B$36)</f>
        <v>51562.5</v>
      </c>
      <c r="D30" s="23" t="n">
        <f aca="false">B30*C30</f>
        <v>1031250</v>
      </c>
      <c r="E30" s="6"/>
    </row>
    <row r="31" customFormat="false" ht="15" hidden="false" customHeight="false" outlineLevel="0" collapsed="false">
      <c r="A31" s="24" t="s">
        <v>160</v>
      </c>
      <c r="B31" s="6"/>
      <c r="C31" s="6"/>
      <c r="D31" s="27" t="n">
        <f aca="false">SUM(D28:D30)</f>
        <v>14443537.5</v>
      </c>
      <c r="E31" s="6"/>
    </row>
    <row r="32" customFormat="false" ht="17.15" hidden="false" customHeight="false" outlineLevel="0" collapsed="false">
      <c r="A32" s="7" t="s">
        <v>161</v>
      </c>
      <c r="B32" s="6"/>
      <c r="C32" s="6"/>
      <c r="D32" s="22" t="n">
        <f aca="false">Inputs!$B$40</f>
        <v>30000000</v>
      </c>
      <c r="E32" s="6"/>
    </row>
    <row r="33" customFormat="false" ht="15" hidden="false" customHeight="false" outlineLevel="0" collapsed="false">
      <c r="A33" s="7" t="s">
        <v>162</v>
      </c>
      <c r="B33" s="6"/>
      <c r="C33" s="6"/>
      <c r="D33" s="23" t="n">
        <f aca="false">D32-D31</f>
        <v>15556462.5</v>
      </c>
      <c r="E33" s="6"/>
    </row>
    <row r="34" customFormat="false" ht="15" hidden="false" customHeight="false" outlineLevel="0" collapsed="false">
      <c r="A34" s="24" t="s">
        <v>163</v>
      </c>
      <c r="B34" s="6"/>
      <c r="C34" s="6"/>
      <c r="D34" s="31" t="n">
        <f aca="false">IF(D32=0,0,(D32-D31)/D32)</f>
        <v>0.51854875</v>
      </c>
      <c r="E34" s="6"/>
    </row>
    <row r="35" customFormat="false" ht="17.15" hidden="false" customHeight="false" outlineLevel="0" collapsed="false">
      <c r="A35" s="7" t="s">
        <v>164</v>
      </c>
      <c r="B35" s="6"/>
      <c r="C35" s="6"/>
      <c r="D35" s="25" t="n">
        <f aca="false">Inputs!$B$41*B13+Inputs!$B$42+Inputs!$B$43</f>
        <v>249</v>
      </c>
      <c r="E35" s="6"/>
    </row>
    <row r="36" customFormat="false" ht="17.15" hidden="false" customHeight="false" outlineLevel="0" collapsed="false">
      <c r="A36" s="7" t="s">
        <v>165</v>
      </c>
      <c r="B36" s="6"/>
      <c r="C36" s="6"/>
      <c r="D36" s="32" t="n">
        <f aca="false">IF(D35=0,0,Inputs!$B$7/D35)</f>
        <v>6.42570281124498</v>
      </c>
      <c r="E36" s="7" t="s">
        <v>166</v>
      </c>
    </row>
    <row r="37" customFormat="false" ht="15" hidden="false" customHeight="false" outlineLevel="0" collapsed="false">
      <c r="A37" s="6"/>
      <c r="B37" s="6"/>
      <c r="C37" s="6"/>
      <c r="D37" s="6"/>
      <c r="E37" s="6"/>
    </row>
    <row r="38" customFormat="false" ht="17.15" hidden="false" customHeight="false" outlineLevel="0" collapsed="false">
      <c r="A38" s="7" t="s">
        <v>167</v>
      </c>
      <c r="B38" s="6"/>
      <c r="C38" s="6"/>
      <c r="D38" s="6"/>
      <c r="E3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52"/>
  </cols>
  <sheetData>
    <row r="1" customFormat="false" ht="20.1" hidden="false" customHeight="false" outlineLevel="0" collapsed="false">
      <c r="A1" s="19" t="s">
        <v>168</v>
      </c>
      <c r="B1" s="6"/>
      <c r="C1" s="6"/>
      <c r="D1" s="6"/>
      <c r="E1" s="6"/>
    </row>
    <row r="2" customFormat="false" ht="17.15" hidden="false" customHeight="false" outlineLevel="0" collapsed="false">
      <c r="A2" s="7" t="s">
        <v>169</v>
      </c>
      <c r="B2" s="6"/>
      <c r="C2" s="6"/>
      <c r="D2" s="6"/>
      <c r="E2" s="6"/>
    </row>
    <row r="3" customFormat="false" ht="15" hidden="false" customHeight="false" outlineLevel="0" collapsed="false">
      <c r="A3" s="6"/>
      <c r="B3" s="6"/>
      <c r="C3" s="6"/>
      <c r="D3" s="6"/>
      <c r="E3" s="6"/>
    </row>
    <row r="4" customFormat="false" ht="17.15" hidden="false" customHeight="false" outlineLevel="0" collapsed="false">
      <c r="A4" s="8" t="s">
        <v>170</v>
      </c>
      <c r="B4" s="8" t="s">
        <v>121</v>
      </c>
      <c r="C4" s="8" t="s">
        <v>122</v>
      </c>
      <c r="D4" s="8" t="s">
        <v>123</v>
      </c>
      <c r="E4" s="8" t="s">
        <v>124</v>
      </c>
    </row>
    <row r="5" customFormat="false" ht="17.15" hidden="false" customHeight="false" outlineLevel="0" collapsed="false">
      <c r="A5" s="7" t="s">
        <v>171</v>
      </c>
      <c r="B5" s="25" t="n">
        <f aca="false">9*Inputs!$B$47</f>
        <v>45</v>
      </c>
      <c r="C5" s="22" t="n">
        <f aca="false">Inputs!$B$8</f>
        <v>41250</v>
      </c>
      <c r="D5" s="23" t="n">
        <f aca="false">B5*C5</f>
        <v>1856250</v>
      </c>
      <c r="E5" s="7" t="s">
        <v>172</v>
      </c>
    </row>
    <row r="6" customFormat="false" ht="17.15" hidden="false" customHeight="false" outlineLevel="0" collapsed="false">
      <c r="A6" s="7" t="s">
        <v>173</v>
      </c>
      <c r="B6" s="25" t="n">
        <f aca="false">6*Inputs!$B$47</f>
        <v>30</v>
      </c>
      <c r="C6" s="22" t="n">
        <f aca="false">Inputs!$B$8</f>
        <v>41250</v>
      </c>
      <c r="D6" s="23" t="n">
        <f aca="false">B6*C6</f>
        <v>1237500</v>
      </c>
      <c r="E6" s="7"/>
    </row>
    <row r="7" customFormat="false" ht="17.15" hidden="false" customHeight="false" outlineLevel="0" collapsed="false">
      <c r="A7" s="7" t="s">
        <v>174</v>
      </c>
      <c r="B7" s="21" t="n">
        <v>40</v>
      </c>
      <c r="C7" s="22" t="n">
        <f aca="false">Inputs!$B$8</f>
        <v>41250</v>
      </c>
      <c r="D7" s="23" t="n">
        <f aca="false">B7*C7</f>
        <v>1650000</v>
      </c>
      <c r="E7" s="7"/>
    </row>
    <row r="8" customFormat="false" ht="17.15" hidden="false" customHeight="false" outlineLevel="0" collapsed="false">
      <c r="A8" s="7" t="s">
        <v>175</v>
      </c>
      <c r="B8" s="25" t="n">
        <f aca="false">12*Inputs!$B$47</f>
        <v>60</v>
      </c>
      <c r="C8" s="22" t="n">
        <f aca="false">Inputs!$B$8</f>
        <v>41250</v>
      </c>
      <c r="D8" s="23" t="n">
        <f aca="false">B8*C8</f>
        <v>2475000</v>
      </c>
      <c r="E8" s="7" t="s">
        <v>176</v>
      </c>
    </row>
    <row r="9" customFormat="false" ht="15" hidden="false" customHeight="false" outlineLevel="0" collapsed="false">
      <c r="A9" s="7" t="s">
        <v>177</v>
      </c>
      <c r="B9" s="21" t="n">
        <v>60</v>
      </c>
      <c r="C9" s="22" t="n">
        <f aca="false">Inputs!$B$8</f>
        <v>41250</v>
      </c>
      <c r="D9" s="23" t="n">
        <f aca="false">B9*C9</f>
        <v>2475000</v>
      </c>
      <c r="E9" s="7"/>
    </row>
    <row r="10" customFormat="false" ht="17.15" hidden="false" customHeight="false" outlineLevel="0" collapsed="false">
      <c r="A10" s="20" t="s">
        <v>178</v>
      </c>
      <c r="B10" s="21" t="n">
        <v>160</v>
      </c>
      <c r="C10" s="22" t="n">
        <f aca="false">Inputs!$B$8</f>
        <v>41250</v>
      </c>
      <c r="D10" s="23" t="n">
        <f aca="false">B10*C10</f>
        <v>6600000</v>
      </c>
      <c r="E10" s="20" t="s">
        <v>179</v>
      </c>
    </row>
    <row r="11" customFormat="false" ht="17.15" hidden="false" customHeight="false" outlineLevel="0" collapsed="false">
      <c r="A11" s="7" t="s">
        <v>180</v>
      </c>
      <c r="B11" s="21" t="n">
        <v>140</v>
      </c>
      <c r="C11" s="22" t="n">
        <f aca="false">Inputs!$B$8</f>
        <v>41250</v>
      </c>
      <c r="D11" s="23" t="n">
        <f aca="false">B11*C11</f>
        <v>5775000</v>
      </c>
      <c r="E11" s="7"/>
    </row>
    <row r="12" customFormat="false" ht="17.15" hidden="false" customHeight="false" outlineLevel="0" collapsed="false">
      <c r="A12" s="7" t="s">
        <v>181</v>
      </c>
      <c r="B12" s="21" t="n">
        <v>160</v>
      </c>
      <c r="C12" s="22" t="n">
        <f aca="false">Inputs!$B$8</f>
        <v>41250</v>
      </c>
      <c r="D12" s="23" t="n">
        <f aca="false">B12*C12</f>
        <v>6600000</v>
      </c>
      <c r="E12" s="20" t="s">
        <v>182</v>
      </c>
    </row>
    <row r="13" customFormat="false" ht="17.15" hidden="false" customHeight="false" outlineLevel="0" collapsed="false">
      <c r="A13" s="20" t="s">
        <v>183</v>
      </c>
      <c r="B13" s="21" t="n">
        <v>240</v>
      </c>
      <c r="C13" s="22" t="n">
        <f aca="false">Inputs!$B$8</f>
        <v>41250</v>
      </c>
      <c r="D13" s="23" t="n">
        <f aca="false">B13*C13</f>
        <v>9900000</v>
      </c>
      <c r="E13" s="7" t="s">
        <v>184</v>
      </c>
    </row>
    <row r="14" customFormat="false" ht="17.15" hidden="false" customHeight="false" outlineLevel="0" collapsed="false">
      <c r="A14" s="7" t="s">
        <v>185</v>
      </c>
      <c r="B14" s="21" t="n">
        <v>60</v>
      </c>
      <c r="C14" s="22" t="n">
        <f aca="false">Inputs!$B$8</f>
        <v>41250</v>
      </c>
      <c r="D14" s="23" t="n">
        <f aca="false">B14*C14</f>
        <v>2475000</v>
      </c>
      <c r="E14" s="7"/>
    </row>
    <row r="15" customFormat="false" ht="17.15" hidden="false" customHeight="false" outlineLevel="0" collapsed="false">
      <c r="A15" s="20" t="s">
        <v>186</v>
      </c>
      <c r="B15" s="21" t="n">
        <v>60</v>
      </c>
      <c r="C15" s="22" t="n">
        <f aca="false">Inputs!$B$8</f>
        <v>41250</v>
      </c>
      <c r="D15" s="23" t="n">
        <f aca="false">B15*C15</f>
        <v>2475000</v>
      </c>
      <c r="E15" s="7"/>
    </row>
    <row r="16" customFormat="false" ht="15" hidden="false" customHeight="false" outlineLevel="0" collapsed="false">
      <c r="A16" s="24" t="s">
        <v>187</v>
      </c>
      <c r="B16" s="33" t="n">
        <f aca="false">SUM(B5:B15)</f>
        <v>1055</v>
      </c>
      <c r="C16" s="6"/>
      <c r="D16" s="23" t="n">
        <f aca="false">SUM(D5:D15)</f>
        <v>43518750</v>
      </c>
      <c r="E16" s="6"/>
    </row>
    <row r="17" customFormat="false" ht="17.15" hidden="false" customHeight="false" outlineLevel="0" collapsed="false">
      <c r="A17" s="7" t="s">
        <v>188</v>
      </c>
      <c r="B17" s="25" t="n">
        <f aca="false">6*Inputs!$B$47+40</f>
        <v>70</v>
      </c>
      <c r="C17" s="22" t="n">
        <f aca="false">Inputs!$B$10</f>
        <v>25000</v>
      </c>
      <c r="D17" s="23" t="n">
        <f aca="false">B17*C17</f>
        <v>1750000</v>
      </c>
      <c r="E17" s="6"/>
    </row>
    <row r="18" customFormat="false" ht="17.15" hidden="false" customHeight="false" outlineLevel="0" collapsed="false">
      <c r="A18" s="20" t="s">
        <v>189</v>
      </c>
      <c r="B18" s="30" t="n">
        <f aca="false">Inputs!$B$48</f>
        <v>80</v>
      </c>
      <c r="C18" s="22" t="n">
        <f aca="false">Inputs!$B$9</f>
        <v>80000</v>
      </c>
      <c r="D18" s="23" t="n">
        <f aca="false">B18*C18</f>
        <v>6400000</v>
      </c>
      <c r="E18" s="6"/>
    </row>
    <row r="19" customFormat="false" ht="15" hidden="false" customHeight="false" outlineLevel="0" collapsed="false">
      <c r="A19" s="24" t="s">
        <v>190</v>
      </c>
      <c r="B19" s="6"/>
      <c r="C19" s="6"/>
      <c r="D19" s="23" t="n">
        <f aca="false">D16+D17+D18</f>
        <v>51668750</v>
      </c>
      <c r="E19" s="6"/>
    </row>
    <row r="20" customFormat="false" ht="15" hidden="false" customHeight="false" outlineLevel="0" collapsed="false">
      <c r="A20" s="6"/>
      <c r="B20" s="6"/>
      <c r="C20" s="6"/>
      <c r="D20" s="6"/>
      <c r="E20" s="6"/>
    </row>
    <row r="21" customFormat="false" ht="17.15" hidden="false" customHeight="false" outlineLevel="0" collapsed="false">
      <c r="A21" s="8" t="s">
        <v>141</v>
      </c>
      <c r="B21" s="8" t="s">
        <v>142</v>
      </c>
      <c r="C21" s="8" t="s">
        <v>143</v>
      </c>
      <c r="D21" s="8" t="s">
        <v>123</v>
      </c>
      <c r="E21" s="8" t="s">
        <v>124</v>
      </c>
    </row>
    <row r="22" customFormat="false" ht="17.15" hidden="false" customHeight="false" outlineLevel="0" collapsed="false">
      <c r="A22" s="7" t="s">
        <v>191</v>
      </c>
      <c r="B22" s="29" t="n">
        <f aca="false">Inputs!$B$47</f>
        <v>5</v>
      </c>
      <c r="C22" s="22" t="n">
        <f aca="false">Inputs!$B$20</f>
        <v>302500</v>
      </c>
      <c r="D22" s="23" t="n">
        <f aca="false">B22*C22</f>
        <v>1512500</v>
      </c>
      <c r="E22" s="6"/>
    </row>
    <row r="23" customFormat="false" ht="17.15" hidden="false" customHeight="false" outlineLevel="0" collapsed="false">
      <c r="A23" s="7" t="s">
        <v>192</v>
      </c>
      <c r="B23" s="25" t="n">
        <f aca="false">45*Inputs!$B$47</f>
        <v>225</v>
      </c>
      <c r="C23" s="22" t="n">
        <f aca="false">Inputs!$B$25</f>
        <v>600</v>
      </c>
      <c r="D23" s="23" t="n">
        <f aca="false">B23*C23</f>
        <v>135000</v>
      </c>
      <c r="E23" s="6"/>
    </row>
    <row r="24" customFormat="false" ht="17.15" hidden="false" customHeight="false" outlineLevel="0" collapsed="false">
      <c r="A24" s="7" t="s">
        <v>193</v>
      </c>
      <c r="B24" s="29" t="n">
        <f aca="false">Inputs!$B$49</f>
        <v>6</v>
      </c>
      <c r="C24" s="22" t="n">
        <f aca="false">Inputs!$B$33</f>
        <v>535714.285714286</v>
      </c>
      <c r="D24" s="23" t="n">
        <f aca="false">B24*C24</f>
        <v>3214285.71428571</v>
      </c>
      <c r="E24" s="7" t="s">
        <v>194</v>
      </c>
    </row>
    <row r="25" customFormat="false" ht="15" hidden="false" customHeight="false" outlineLevel="0" collapsed="false">
      <c r="A25" s="7" t="s">
        <v>195</v>
      </c>
      <c r="B25" s="26" t="n">
        <v>1</v>
      </c>
      <c r="C25" s="22" t="n">
        <f aca="false">Inputs!$B$51</f>
        <v>1500000</v>
      </c>
      <c r="D25" s="23" t="n">
        <f aca="false">B25*C25</f>
        <v>1500000</v>
      </c>
      <c r="E25" s="6"/>
    </row>
    <row r="26" customFormat="false" ht="17.15" hidden="false" customHeight="false" outlineLevel="0" collapsed="false">
      <c r="A26" s="7" t="s">
        <v>196</v>
      </c>
      <c r="B26" s="21" t="n">
        <v>600</v>
      </c>
      <c r="C26" s="22" t="n">
        <f aca="false">Inputs!$B$29</f>
        <v>666.666666666667</v>
      </c>
      <c r="D26" s="23" t="n">
        <f aca="false">B26*C26</f>
        <v>400000</v>
      </c>
      <c r="E26" s="20" t="s">
        <v>197</v>
      </c>
    </row>
    <row r="27" customFormat="false" ht="15" hidden="false" customHeight="false" outlineLevel="0" collapsed="false">
      <c r="A27" s="7" t="s">
        <v>198</v>
      </c>
      <c r="B27" s="26" t="n">
        <v>1</v>
      </c>
      <c r="C27" s="22" t="n">
        <f aca="false">Inputs!$B$50</f>
        <v>5000000</v>
      </c>
      <c r="D27" s="23" t="n">
        <f aca="false">B27*C27</f>
        <v>5000000</v>
      </c>
      <c r="E27" s="6"/>
    </row>
    <row r="28" customFormat="false" ht="15" hidden="false" customHeight="false" outlineLevel="0" collapsed="false">
      <c r="A28" s="24" t="s">
        <v>150</v>
      </c>
      <c r="B28" s="6"/>
      <c r="C28" s="6"/>
      <c r="D28" s="23" t="n">
        <f aca="false">SUM(D22:D27)</f>
        <v>11761785.7142857</v>
      </c>
      <c r="E28" s="6"/>
    </row>
    <row r="29" customFormat="false" ht="15" hidden="false" customHeight="false" outlineLevel="0" collapsed="false">
      <c r="A29" s="6"/>
      <c r="B29" s="6"/>
      <c r="C29" s="6"/>
      <c r="D29" s="6"/>
      <c r="E29" s="6"/>
    </row>
    <row r="30" customFormat="false" ht="15" hidden="false" customHeight="false" outlineLevel="0" collapsed="false">
      <c r="A30" s="24" t="s">
        <v>199</v>
      </c>
      <c r="B30" s="6"/>
      <c r="C30" s="6"/>
      <c r="D30" s="23" t="n">
        <f aca="false">D19+D28</f>
        <v>63430535.7142857</v>
      </c>
      <c r="E30" s="6"/>
    </row>
    <row r="31" customFormat="false" ht="17.15" hidden="false" customHeight="false" outlineLevel="0" collapsed="false">
      <c r="A31" s="7" t="s">
        <v>152</v>
      </c>
      <c r="B31" s="6"/>
      <c r="C31" s="6"/>
      <c r="D31" s="23" t="n">
        <f aca="false">D19*Inputs!$B$36</f>
        <v>12917187.5</v>
      </c>
      <c r="E31" s="6"/>
    </row>
    <row r="32" customFormat="false" ht="17.15" hidden="false" customHeight="false" outlineLevel="0" collapsed="false">
      <c r="A32" s="7" t="s">
        <v>153</v>
      </c>
      <c r="B32" s="6"/>
      <c r="C32" s="6"/>
      <c r="D32" s="23" t="n">
        <f aca="false">D30*Inputs!$B$37</f>
        <v>6343053.57142857</v>
      </c>
      <c r="E32" s="6"/>
    </row>
    <row r="33" customFormat="false" ht="17.15" hidden="false" customHeight="false" outlineLevel="0" collapsed="false">
      <c r="A33" s="24" t="s">
        <v>200</v>
      </c>
      <c r="B33" s="6"/>
      <c r="C33" s="6"/>
      <c r="D33" s="27" t="n">
        <f aca="false">D30+D31+D32</f>
        <v>82690776.7857143</v>
      </c>
      <c r="E33" s="6"/>
    </row>
    <row r="34" customFormat="false" ht="17.15" hidden="false" customHeight="false" outlineLevel="0" collapsed="false">
      <c r="A34" s="7" t="s">
        <v>201</v>
      </c>
      <c r="B34" s="6"/>
      <c r="C34" s="6"/>
      <c r="D34" s="22" t="n">
        <f aca="false">Inputs!$B$46</f>
        <v>200000000</v>
      </c>
      <c r="E34" s="6"/>
    </row>
    <row r="35" customFormat="false" ht="15" hidden="false" customHeight="false" outlineLevel="0" collapsed="false">
      <c r="A35" s="7" t="s">
        <v>162</v>
      </c>
      <c r="B35" s="6"/>
      <c r="C35" s="6"/>
      <c r="D35" s="23" t="n">
        <f aca="false">D34-D33</f>
        <v>117309223.214286</v>
      </c>
      <c r="E35" s="6"/>
    </row>
    <row r="36" customFormat="false" ht="15" hidden="false" customHeight="false" outlineLevel="0" collapsed="false">
      <c r="A36" s="24" t="s">
        <v>163</v>
      </c>
      <c r="B36" s="6"/>
      <c r="C36" s="6"/>
      <c r="D36" s="31" t="n">
        <f aca="false">IF(D34=0,0,(D34-D33)/D34)</f>
        <v>0.586546116071429</v>
      </c>
      <c r="E36" s="6"/>
    </row>
    <row r="37" customFormat="false" ht="17.15" hidden="false" customHeight="false" outlineLevel="0" collapsed="false">
      <c r="A37" s="7" t="s">
        <v>202</v>
      </c>
      <c r="B37" s="6"/>
      <c r="C37" s="6"/>
      <c r="D37" s="25" t="n">
        <f aca="false">B16+B17+B18</f>
        <v>1205</v>
      </c>
      <c r="E37" s="6"/>
    </row>
    <row r="38" customFormat="false" ht="17.15" hidden="false" customHeight="false" outlineLevel="0" collapsed="false">
      <c r="A38" s="7" t="s">
        <v>203</v>
      </c>
      <c r="B38" s="6"/>
      <c r="C38" s="6"/>
      <c r="D38" s="32" t="n">
        <f aca="false">IF(B16=0,0,3*Inputs!$B$7/B16)</f>
        <v>4.54976303317536</v>
      </c>
      <c r="E38" s="20" t="s">
        <v>204</v>
      </c>
    </row>
    <row r="39" customFormat="false" ht="15" hidden="false" customHeight="false" outlineLevel="0" collapsed="false">
      <c r="A39" s="6"/>
      <c r="B39" s="6"/>
      <c r="C39" s="6"/>
      <c r="D39" s="6"/>
      <c r="E39" s="6"/>
    </row>
    <row r="40" customFormat="false" ht="17.15" hidden="false" customHeight="false" outlineLevel="0" collapsed="false">
      <c r="A40" s="7" t="s">
        <v>205</v>
      </c>
      <c r="B40" s="6"/>
      <c r="C40" s="6"/>
      <c r="D40" s="6"/>
      <c r="E4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8"/>
  </cols>
  <sheetData>
    <row r="1" customFormat="false" ht="20.1" hidden="false" customHeight="false" outlineLevel="0" collapsed="false">
      <c r="A1" s="19" t="s">
        <v>206</v>
      </c>
      <c r="B1" s="6"/>
      <c r="C1" s="6"/>
      <c r="D1" s="6"/>
      <c r="E1" s="6"/>
      <c r="F1" s="6"/>
      <c r="G1" s="6"/>
    </row>
    <row r="2" customFormat="false" ht="17.15" hidden="false" customHeight="false" outlineLevel="0" collapsed="false">
      <c r="A2" s="7" t="s">
        <v>207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28" t="s">
        <v>208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7" t="s">
        <v>209</v>
      </c>
      <c r="B5" s="23" t="n">
        <f aca="false">Inputs!$B$55*Inputs!$B$8</f>
        <v>123750</v>
      </c>
      <c r="C5" s="6"/>
      <c r="D5" s="6"/>
      <c r="E5" s="6"/>
      <c r="F5" s="6"/>
      <c r="G5" s="6"/>
    </row>
    <row r="6" customFormat="false" ht="17.15" hidden="false" customHeight="false" outlineLevel="0" collapsed="false">
      <c r="A6" s="7" t="s">
        <v>210</v>
      </c>
      <c r="B6" s="22" t="n">
        <f aca="false">Inputs!$B$56</f>
        <v>10000</v>
      </c>
      <c r="C6" s="6"/>
      <c r="D6" s="6"/>
      <c r="E6" s="6"/>
      <c r="F6" s="6"/>
      <c r="G6" s="6"/>
    </row>
    <row r="7" customFormat="false" ht="17.15" hidden="false" customHeight="false" outlineLevel="0" collapsed="false">
      <c r="A7" s="7" t="s">
        <v>211</v>
      </c>
      <c r="B7" s="23" t="n">
        <f aca="false">4*Inputs!$B$29</f>
        <v>2666.66666666667</v>
      </c>
      <c r="C7" s="6"/>
      <c r="D7" s="6"/>
      <c r="E7" s="6"/>
      <c r="F7" s="6"/>
      <c r="G7" s="6"/>
    </row>
    <row r="8" customFormat="false" ht="17.15" hidden="false" customHeight="false" outlineLevel="0" collapsed="false">
      <c r="A8" s="7" t="s">
        <v>212</v>
      </c>
      <c r="B8" s="23" t="n">
        <f aca="false">B5*Inputs!$B$36</f>
        <v>30937.5</v>
      </c>
      <c r="C8" s="6"/>
      <c r="D8" s="6"/>
      <c r="E8" s="6"/>
      <c r="F8" s="6"/>
      <c r="G8" s="6"/>
    </row>
    <row r="9" customFormat="false" ht="15" hidden="false" customHeight="false" outlineLevel="0" collapsed="false">
      <c r="A9" s="24" t="s">
        <v>213</v>
      </c>
      <c r="B9" s="27" t="n">
        <f aca="false">SUM(B5:B8)</f>
        <v>167354.166666667</v>
      </c>
      <c r="C9" s="6"/>
      <c r="D9" s="6"/>
      <c r="E9" s="6"/>
      <c r="F9" s="6"/>
      <c r="G9" s="6"/>
    </row>
    <row r="10" customFormat="false" ht="15" hidden="false" customHeight="false" outlineLevel="0" collapsed="false">
      <c r="A10" s="7" t="s">
        <v>214</v>
      </c>
      <c r="B10" s="22" t="n">
        <f aca="false">Inputs!$B$54</f>
        <v>1000000</v>
      </c>
      <c r="C10" s="6"/>
      <c r="D10" s="6"/>
      <c r="E10" s="6"/>
      <c r="F10" s="6"/>
      <c r="G10" s="6"/>
    </row>
    <row r="11" customFormat="false" ht="15" hidden="false" customHeight="false" outlineLevel="0" collapsed="false">
      <c r="A11" s="7" t="s">
        <v>215</v>
      </c>
      <c r="B11" s="23" t="n">
        <f aca="false">B10-B9</f>
        <v>832645.833333333</v>
      </c>
      <c r="C11" s="6"/>
      <c r="D11" s="6"/>
      <c r="E11" s="6"/>
      <c r="F11" s="6"/>
      <c r="G11" s="6"/>
    </row>
    <row r="12" customFormat="false" ht="15" hidden="false" customHeight="false" outlineLevel="0" collapsed="false">
      <c r="A12" s="7" t="s">
        <v>216</v>
      </c>
      <c r="B12" s="34" t="n">
        <f aca="false">IF(B10=0,0,B11/B10)</f>
        <v>0.832645833333333</v>
      </c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7.15" hidden="false" customHeight="false" outlineLevel="0" collapsed="false">
      <c r="A14" s="7" t="s">
        <v>217</v>
      </c>
      <c r="B14" s="22" t="n">
        <f aca="false">Inputs!$B$57</f>
        <v>300000000</v>
      </c>
      <c r="C14" s="6"/>
      <c r="D14" s="6"/>
      <c r="E14" s="6"/>
      <c r="F14" s="6"/>
      <c r="G14" s="6"/>
    </row>
    <row r="15" customFormat="false" ht="15" hidden="false" customHeight="false" outlineLevel="0" collapsed="false">
      <c r="A15" s="7" t="s">
        <v>218</v>
      </c>
      <c r="B15" s="23" t="n">
        <f aca="false">Inputs!$B$58/Inputs!$B$59</f>
        <v>100000000</v>
      </c>
      <c r="C15" s="6"/>
      <c r="D15" s="6"/>
      <c r="E15" s="6"/>
      <c r="F15" s="6"/>
      <c r="G15" s="6"/>
    </row>
    <row r="16" customFormat="false" ht="15" hidden="false" customHeight="false" outlineLevel="0" collapsed="false">
      <c r="A16" s="24" t="s">
        <v>219</v>
      </c>
      <c r="B16" s="23" t="n">
        <f aca="false">B14+B15</f>
        <v>400000000</v>
      </c>
      <c r="C16" s="6"/>
      <c r="D16" s="6"/>
      <c r="E16" s="6"/>
      <c r="F16" s="6"/>
      <c r="G16" s="6"/>
    </row>
    <row r="17" customFormat="false" ht="17.15" hidden="false" customHeight="false" outlineLevel="0" collapsed="false">
      <c r="A17" s="24" t="s">
        <v>220</v>
      </c>
      <c r="B17" s="35" t="n">
        <f aca="false">IF(B11&lt;=0,0,B16/B11)</f>
        <v>480.39632696975</v>
      </c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7.15" hidden="false" customHeight="false" outlineLevel="0" collapsed="false">
      <c r="A19" s="8" t="s">
        <v>221</v>
      </c>
      <c r="B19" s="8" t="n">
        <v>200</v>
      </c>
      <c r="C19" s="8" t="n">
        <v>400</v>
      </c>
      <c r="D19" s="8" t="n">
        <v>600</v>
      </c>
      <c r="E19" s="8" t="n">
        <v>800</v>
      </c>
      <c r="F19" s="8" t="n">
        <v>1000</v>
      </c>
      <c r="G19" s="8" t="n">
        <v>1500</v>
      </c>
    </row>
    <row r="20" customFormat="false" ht="15" hidden="false" customHeight="false" outlineLevel="0" collapsed="false">
      <c r="A20" s="7" t="s">
        <v>222</v>
      </c>
      <c r="B20" s="23" t="n">
        <f aca="false">B$19*$B$10</f>
        <v>200000000</v>
      </c>
      <c r="C20" s="23" t="n">
        <f aca="false">C$19*$B$10</f>
        <v>400000000</v>
      </c>
      <c r="D20" s="23" t="n">
        <f aca="false">D$19*$B$10</f>
        <v>600000000</v>
      </c>
      <c r="E20" s="23" t="n">
        <f aca="false">E$19*$B$10</f>
        <v>800000000</v>
      </c>
      <c r="F20" s="23" t="n">
        <f aca="false">F$19*$B$10</f>
        <v>1000000000</v>
      </c>
      <c r="G20" s="23" t="n">
        <f aca="false">G$19*$B$10</f>
        <v>1500000000</v>
      </c>
    </row>
    <row r="21" customFormat="false" ht="15" hidden="false" customHeight="false" outlineLevel="0" collapsed="false">
      <c r="A21" s="7" t="s">
        <v>223</v>
      </c>
      <c r="B21" s="23" t="n">
        <f aca="false">B$19*$B$9</f>
        <v>33470833.3333333</v>
      </c>
      <c r="C21" s="23" t="n">
        <f aca="false">C$19*$B$9</f>
        <v>66941666.6666667</v>
      </c>
      <c r="D21" s="23" t="n">
        <f aca="false">D$19*$B$9</f>
        <v>100412500</v>
      </c>
      <c r="E21" s="23" t="n">
        <f aca="false">E$19*$B$9</f>
        <v>133883333.333333</v>
      </c>
      <c r="F21" s="23" t="n">
        <f aca="false">F$19*$B$9</f>
        <v>167354166.666667</v>
      </c>
      <c r="G21" s="23" t="n">
        <f aca="false">G$19*$B$9</f>
        <v>251031250</v>
      </c>
    </row>
    <row r="22" customFormat="false" ht="15" hidden="false" customHeight="false" outlineLevel="0" collapsed="false">
      <c r="A22" s="7" t="s">
        <v>224</v>
      </c>
      <c r="B22" s="23" t="n">
        <f aca="false">$B$16</f>
        <v>400000000</v>
      </c>
      <c r="C22" s="23" t="n">
        <f aca="false">$B$16</f>
        <v>400000000</v>
      </c>
      <c r="D22" s="23" t="n">
        <f aca="false">$B$16</f>
        <v>400000000</v>
      </c>
      <c r="E22" s="23" t="n">
        <f aca="false">$B$16</f>
        <v>400000000</v>
      </c>
      <c r="F22" s="23" t="n">
        <f aca="false">$B$16</f>
        <v>400000000</v>
      </c>
      <c r="G22" s="23" t="n">
        <f aca="false">$B$16</f>
        <v>400000000</v>
      </c>
    </row>
    <row r="23" customFormat="false" ht="15" hidden="false" customHeight="false" outlineLevel="0" collapsed="false">
      <c r="A23" s="24" t="s">
        <v>225</v>
      </c>
      <c r="B23" s="36" t="n">
        <f aca="false">B20-B21-B22</f>
        <v>-233470833.333333</v>
      </c>
      <c r="C23" s="36" t="n">
        <f aca="false">C20-C21-C22</f>
        <v>-66941666.6666667</v>
      </c>
      <c r="D23" s="36" t="n">
        <f aca="false">D20-D21-D22</f>
        <v>99587500</v>
      </c>
      <c r="E23" s="36" t="n">
        <f aca="false">E20-E21-E22</f>
        <v>266116666.666667</v>
      </c>
      <c r="F23" s="36" t="n">
        <f aca="false">F20-F21-F22</f>
        <v>432645833.333333</v>
      </c>
      <c r="G23" s="36" t="n">
        <f aca="false">G20-G21-G22</f>
        <v>848968750</v>
      </c>
    </row>
    <row r="24" customFormat="false" ht="17.15" hidden="false" customHeight="false" outlineLevel="0" collapsed="false">
      <c r="A24" s="7" t="s">
        <v>226</v>
      </c>
      <c r="B24" s="32" t="n">
        <f aca="false">B$19*Inputs!$B$55/Inputs!$B$7</f>
        <v>0.375</v>
      </c>
      <c r="C24" s="32" t="n">
        <f aca="false">C$19*Inputs!$B$55/Inputs!$B$7</f>
        <v>0.75</v>
      </c>
      <c r="D24" s="32" t="n">
        <f aca="false">D$19*Inputs!$B$55/Inputs!$B$7</f>
        <v>1.125</v>
      </c>
      <c r="E24" s="32" t="n">
        <f aca="false">E$19*Inputs!$B$55/Inputs!$B$7</f>
        <v>1.5</v>
      </c>
      <c r="F24" s="32" t="n">
        <f aca="false">F$19*Inputs!$B$55/Inputs!$B$7</f>
        <v>1.875</v>
      </c>
      <c r="G24" s="32" t="n">
        <f aca="false">G$19*Inputs!$B$55/Inputs!$B$7</f>
        <v>2.8125</v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</row>
    <row r="26" customFormat="false" ht="17.15" hidden="false" customHeight="false" outlineLevel="0" collapsed="false">
      <c r="A26" s="7" t="s">
        <v>227</v>
      </c>
      <c r="B26" s="6"/>
      <c r="C26" s="6"/>
      <c r="D26" s="6"/>
      <c r="E26" s="6"/>
      <c r="F26" s="6"/>
      <c r="G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  <col collapsed="false" customWidth="true" hidden="false" outlineLevel="0" max="7" min="7" style="0" width="44"/>
  </cols>
  <sheetData>
    <row r="1" customFormat="false" ht="20.1" hidden="false" customHeight="false" outlineLevel="0" collapsed="false">
      <c r="A1" s="5" t="s">
        <v>228</v>
      </c>
      <c r="B1" s="6"/>
      <c r="C1" s="6"/>
      <c r="D1" s="6"/>
      <c r="E1" s="6"/>
      <c r="F1" s="6"/>
      <c r="G1" s="6"/>
    </row>
    <row r="2" customFormat="false" ht="17.15" hidden="false" customHeight="false" outlineLevel="0" collapsed="false">
      <c r="A2" s="7" t="s">
        <v>229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7.15" hidden="false" customHeight="false" outlineLevel="0" collapsed="false">
      <c r="A4" s="8" t="s">
        <v>17</v>
      </c>
      <c r="B4" s="37" t="s">
        <v>230</v>
      </c>
      <c r="C4" s="37" t="s">
        <v>231</v>
      </c>
      <c r="D4" s="37" t="s">
        <v>232</v>
      </c>
      <c r="E4" s="37" t="s">
        <v>233</v>
      </c>
      <c r="F4" s="37" t="s">
        <v>234</v>
      </c>
      <c r="G4" s="8" t="s">
        <v>124</v>
      </c>
    </row>
    <row r="5" customFormat="false" ht="15" hidden="false" customHeight="false" outlineLevel="0" collapsed="false">
      <c r="A5" s="28" t="s">
        <v>235</v>
      </c>
      <c r="B5" s="6"/>
      <c r="C5" s="6"/>
      <c r="D5" s="6"/>
      <c r="E5" s="6"/>
      <c r="F5" s="6"/>
      <c r="G5" s="6"/>
    </row>
    <row r="6" customFormat="false" ht="17.15" hidden="false" customHeight="false" outlineLevel="0" collapsed="false">
      <c r="A6" s="20" t="s">
        <v>236</v>
      </c>
      <c r="B6" s="26" t="n">
        <v>2</v>
      </c>
      <c r="C6" s="26" t="n">
        <v>3</v>
      </c>
      <c r="D6" s="26" t="n">
        <v>3</v>
      </c>
      <c r="E6" s="26" t="n">
        <v>2</v>
      </c>
      <c r="F6" s="26" t="n">
        <v>2</v>
      </c>
      <c r="G6" s="20" t="s">
        <v>237</v>
      </c>
    </row>
    <row r="7" customFormat="false" ht="17.15" hidden="false" customHeight="false" outlineLevel="0" collapsed="false">
      <c r="A7" s="20" t="s">
        <v>238</v>
      </c>
      <c r="B7" s="26" t="n">
        <v>0</v>
      </c>
      <c r="C7" s="26" t="n">
        <v>0</v>
      </c>
      <c r="D7" s="26" t="n">
        <v>1</v>
      </c>
      <c r="E7" s="26" t="n">
        <v>2</v>
      </c>
      <c r="F7" s="26" t="n">
        <v>3</v>
      </c>
      <c r="G7" s="20" t="s">
        <v>239</v>
      </c>
    </row>
    <row r="8" customFormat="false" ht="17.15" hidden="false" customHeight="false" outlineLevel="0" collapsed="false">
      <c r="A8" s="7" t="s">
        <v>240</v>
      </c>
      <c r="B8" s="38" t="n">
        <v>1</v>
      </c>
      <c r="C8" s="38" t="n">
        <v>1.5</v>
      </c>
      <c r="D8" s="38" t="n">
        <v>3</v>
      </c>
      <c r="E8" s="38" t="n">
        <v>3</v>
      </c>
      <c r="F8" s="38" t="n">
        <v>4</v>
      </c>
      <c r="G8" s="20" t="s">
        <v>241</v>
      </c>
    </row>
    <row r="9" customFormat="false" ht="17.15" hidden="false" customHeight="false" outlineLevel="0" collapsed="false">
      <c r="A9" s="7" t="s">
        <v>242</v>
      </c>
      <c r="B9" s="38" t="n">
        <v>0</v>
      </c>
      <c r="C9" s="38" t="n">
        <v>0.5</v>
      </c>
      <c r="D9" s="38" t="n">
        <v>1</v>
      </c>
      <c r="E9" s="38" t="n">
        <v>1</v>
      </c>
      <c r="F9" s="38" t="n">
        <v>1</v>
      </c>
      <c r="G9" s="7"/>
    </row>
    <row r="10" customFormat="false" ht="17.15" hidden="false" customHeight="false" outlineLevel="0" collapsed="false">
      <c r="A10" s="7" t="s">
        <v>243</v>
      </c>
      <c r="B10" s="39" t="n">
        <v>30000000</v>
      </c>
      <c r="C10" s="39" t="n">
        <v>40000000</v>
      </c>
      <c r="D10" s="39" t="n">
        <v>80000000</v>
      </c>
      <c r="E10" s="39" t="n">
        <v>90000000</v>
      </c>
      <c r="F10" s="39" t="n">
        <v>100000000</v>
      </c>
      <c r="G10" s="7"/>
    </row>
    <row r="11" customFormat="false" ht="17.15" hidden="false" customHeight="false" outlineLevel="0" collapsed="false">
      <c r="A11" s="7" t="s">
        <v>244</v>
      </c>
      <c r="B11" s="26" t="n">
        <v>0</v>
      </c>
      <c r="C11" s="26" t="n">
        <v>1</v>
      </c>
      <c r="D11" s="26" t="n">
        <v>1</v>
      </c>
      <c r="E11" s="26" t="n">
        <v>1</v>
      </c>
      <c r="F11" s="26" t="n">
        <v>1</v>
      </c>
      <c r="G11" s="20" t="s">
        <v>245</v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28" t="s">
        <v>246</v>
      </c>
      <c r="B13" s="6"/>
      <c r="C13" s="6"/>
      <c r="D13" s="6"/>
      <c r="E13" s="6"/>
      <c r="F13" s="6"/>
      <c r="G13" s="6"/>
    </row>
    <row r="14" customFormat="false" ht="17.15" hidden="false" customHeight="false" outlineLevel="0" collapsed="false">
      <c r="A14" s="7" t="s">
        <v>247</v>
      </c>
      <c r="B14" s="23" t="n">
        <f aca="false">B6*Inputs!$B$40</f>
        <v>60000000</v>
      </c>
      <c r="C14" s="23" t="n">
        <f aca="false">C6*Inputs!$B$40</f>
        <v>90000000</v>
      </c>
      <c r="D14" s="23" t="n">
        <f aca="false">D6*Inputs!$B$40</f>
        <v>90000000</v>
      </c>
      <c r="E14" s="23" t="n">
        <f aca="false">E6*Inputs!$B$40</f>
        <v>60000000</v>
      </c>
      <c r="F14" s="23" t="n">
        <f aca="false">F6*Inputs!$B$40</f>
        <v>60000000</v>
      </c>
      <c r="G14" s="7"/>
    </row>
    <row r="15" customFormat="false" ht="17.15" hidden="false" customHeight="false" outlineLevel="0" collapsed="false">
      <c r="A15" s="7" t="s">
        <v>248</v>
      </c>
      <c r="B15" s="23" t="n">
        <f aca="false">B7*Inputs!$B$46</f>
        <v>0</v>
      </c>
      <c r="C15" s="23" t="n">
        <f aca="false">C7*Inputs!$B$46</f>
        <v>0</v>
      </c>
      <c r="D15" s="23" t="n">
        <f aca="false">D7*Inputs!$B$46</f>
        <v>200000000</v>
      </c>
      <c r="E15" s="23" t="n">
        <f aca="false">E7*Inputs!$B$46</f>
        <v>400000000</v>
      </c>
      <c r="F15" s="23" t="n">
        <f aca="false">F7*Inputs!$B$46</f>
        <v>600000000</v>
      </c>
      <c r="G15" s="7"/>
    </row>
    <row r="16" customFormat="false" ht="15" hidden="false" customHeight="false" outlineLevel="0" collapsed="false">
      <c r="A16" s="24" t="s">
        <v>249</v>
      </c>
      <c r="B16" s="36" t="n">
        <f aca="false">B14+B15</f>
        <v>60000000</v>
      </c>
      <c r="C16" s="36" t="n">
        <f aca="false">C14+C15</f>
        <v>90000000</v>
      </c>
      <c r="D16" s="36" t="n">
        <f aca="false">D14+D15</f>
        <v>290000000</v>
      </c>
      <c r="E16" s="36" t="n">
        <f aca="false">E14+E15</f>
        <v>460000000</v>
      </c>
      <c r="F16" s="36" t="n">
        <f aca="false">F14+F15</f>
        <v>660000000</v>
      </c>
      <c r="G16" s="7"/>
    </row>
    <row r="17" customFormat="false" ht="17.15" hidden="false" customHeight="false" outlineLevel="0" collapsed="false">
      <c r="A17" s="7" t="s">
        <v>250</v>
      </c>
      <c r="B17" s="23" t="n">
        <f aca="false">B6*UnitCost_A!$D$19*Inputs!$B$41*(1+Inputs!$B$37)</f>
        <v>2306700</v>
      </c>
      <c r="C17" s="23" t="n">
        <f aca="false">C6*UnitCost_A!$D$19*Inputs!$B$41*(1+Inputs!$B$37)</f>
        <v>3460050</v>
      </c>
      <c r="D17" s="23" t="n">
        <f aca="false">D6*UnitCost_A!$D$19*Inputs!$B$41*(1+Inputs!$B$37)</f>
        <v>3460050</v>
      </c>
      <c r="E17" s="23" t="n">
        <f aca="false">E6*UnitCost_A!$D$19*Inputs!$B$41*(1+Inputs!$B$37)</f>
        <v>2306700</v>
      </c>
      <c r="F17" s="23" t="n">
        <f aca="false">F6*UnitCost_A!$D$19*Inputs!$B$41*(1+Inputs!$B$37)</f>
        <v>2306700</v>
      </c>
      <c r="G17" s="7" t="s">
        <v>251</v>
      </c>
    </row>
    <row r="18" customFormat="false" ht="17.15" hidden="false" customHeight="false" outlineLevel="0" collapsed="false">
      <c r="A18" s="7" t="s">
        <v>252</v>
      </c>
      <c r="B18" s="23" t="n">
        <f aca="false">B7*UnitCost_B!$D$28*(1+Inputs!$B$37)</f>
        <v>0</v>
      </c>
      <c r="C18" s="23" t="n">
        <f aca="false">C7*UnitCost_B!$D$28*(1+Inputs!$B$37)</f>
        <v>0</v>
      </c>
      <c r="D18" s="23" t="n">
        <f aca="false">D7*UnitCost_B!$D$28*(1+Inputs!$B$37)</f>
        <v>12937964.2857143</v>
      </c>
      <c r="E18" s="23" t="n">
        <f aca="false">E7*UnitCost_B!$D$28*(1+Inputs!$B$37)</f>
        <v>25875928.5714286</v>
      </c>
      <c r="F18" s="23" t="n">
        <f aca="false">F7*UnitCost_B!$D$28*(1+Inputs!$B$37)</f>
        <v>38813892.8571429</v>
      </c>
      <c r="G18" s="7" t="s">
        <v>253</v>
      </c>
    </row>
    <row r="19" customFormat="false" ht="17.15" hidden="false" customHeight="false" outlineLevel="0" collapsed="false">
      <c r="A19" s="7" t="s">
        <v>254</v>
      </c>
      <c r="B19" s="23" t="n">
        <f aca="false">B8*Inputs!$B$5*Inputs!$B$6+B9*Inputs!$B$10*2000</f>
        <v>66000000</v>
      </c>
      <c r="C19" s="23" t="n">
        <f aca="false">C8*Inputs!$B$5*Inputs!$B$6+C9*Inputs!$B$10*2000</f>
        <v>124000000</v>
      </c>
      <c r="D19" s="23" t="n">
        <f aca="false">D8*Inputs!$B$5*Inputs!$B$6+D9*Inputs!$B$10*2000</f>
        <v>248000000</v>
      </c>
      <c r="E19" s="23" t="n">
        <f aca="false">E8*Inputs!$B$5*Inputs!$B$6+E9*Inputs!$B$10*2000</f>
        <v>248000000</v>
      </c>
      <c r="F19" s="23" t="n">
        <f aca="false">F8*Inputs!$B$5*Inputs!$B$6+F9*Inputs!$B$10*2000</f>
        <v>314000000</v>
      </c>
      <c r="G19" s="7" t="s">
        <v>255</v>
      </c>
    </row>
    <row r="20" customFormat="false" ht="17.15" hidden="false" customHeight="false" outlineLevel="0" collapsed="false">
      <c r="A20" s="20" t="s">
        <v>256</v>
      </c>
      <c r="B20" s="23" t="n">
        <f aca="false">(B6*2+B7*Inputs!$B$48)*Inputs!$B$9</f>
        <v>320000</v>
      </c>
      <c r="C20" s="23" t="n">
        <f aca="false">(C6*2+C7*Inputs!$B$48)*Inputs!$B$9</f>
        <v>480000</v>
      </c>
      <c r="D20" s="23" t="n">
        <f aca="false">(D6*2+D7*Inputs!$B$48)*Inputs!$B$9</f>
        <v>6880000</v>
      </c>
      <c r="E20" s="23" t="n">
        <f aca="false">(E6*2+E7*Inputs!$B$48)*Inputs!$B$9</f>
        <v>13120000</v>
      </c>
      <c r="F20" s="23" t="n">
        <f aca="false">(F6*2+F7*Inputs!$B$48)*Inputs!$B$9</f>
        <v>19520000</v>
      </c>
      <c r="G20" s="20" t="s">
        <v>257</v>
      </c>
    </row>
    <row r="21" customFormat="false" ht="15" hidden="false" customHeight="false" outlineLevel="0" collapsed="false">
      <c r="A21" s="7" t="s">
        <v>258</v>
      </c>
      <c r="B21" s="23" t="n">
        <f aca="false">B10</f>
        <v>30000000</v>
      </c>
      <c r="C21" s="23" t="n">
        <f aca="false">C10</f>
        <v>40000000</v>
      </c>
      <c r="D21" s="23" t="n">
        <f aca="false">D10</f>
        <v>80000000</v>
      </c>
      <c r="E21" s="23" t="n">
        <f aca="false">E10</f>
        <v>90000000</v>
      </c>
      <c r="F21" s="23" t="n">
        <f aca="false">F10</f>
        <v>100000000</v>
      </c>
      <c r="G21" s="7"/>
    </row>
    <row r="22" customFormat="false" ht="17.15" hidden="false" customHeight="false" outlineLevel="0" collapsed="false">
      <c r="A22" s="7" t="s">
        <v>259</v>
      </c>
      <c r="B22" s="23" t="n">
        <f aca="false">B11*Inputs!$B$30/Inputs!$B$31+Inputs!$B$23/5+Inputs!$B$26/Inputs!$B$27</f>
        <v>1933333.33333333</v>
      </c>
      <c r="C22" s="23" t="n">
        <f aca="false">C11*Inputs!$B$30/Inputs!$B$31+Inputs!$B$23/5+Inputs!$B$26/Inputs!$B$27</f>
        <v>23361904.7619048</v>
      </c>
      <c r="D22" s="23" t="n">
        <f aca="false">D11*Inputs!$B$30/Inputs!$B$31+Inputs!$B$23/5+Inputs!$B$26/Inputs!$B$27</f>
        <v>23361904.7619048</v>
      </c>
      <c r="E22" s="23" t="n">
        <f aca="false">E11*Inputs!$B$30/Inputs!$B$31+Inputs!$B$23/5+Inputs!$B$26/Inputs!$B$27</f>
        <v>23361904.7619048</v>
      </c>
      <c r="F22" s="23" t="n">
        <f aca="false">F11*Inputs!$B$30/Inputs!$B$31+Inputs!$B$23/5+Inputs!$B$26/Inputs!$B$27</f>
        <v>23361904.7619048</v>
      </c>
      <c r="G22" s="7" t="s">
        <v>260</v>
      </c>
    </row>
    <row r="23" customFormat="false" ht="15" hidden="false" customHeight="false" outlineLevel="0" collapsed="false">
      <c r="A23" s="24" t="s">
        <v>261</v>
      </c>
      <c r="B23" s="36" t="n">
        <f aca="false">B17+B18+B19+B20+B21+B22</f>
        <v>100560033.333333</v>
      </c>
      <c r="C23" s="36" t="n">
        <f aca="false">C17+C18+C19+C20+C21+C22</f>
        <v>191301954.761905</v>
      </c>
      <c r="D23" s="36" t="n">
        <f aca="false">D17+D18+D19+D20+D21+D22</f>
        <v>374639919.047619</v>
      </c>
      <c r="E23" s="36" t="n">
        <f aca="false">E17+E18+E19+E20+E21+E22</f>
        <v>402664533.333333</v>
      </c>
      <c r="F23" s="36" t="n">
        <f aca="false">F17+F18+F19+F20+F21+F22</f>
        <v>498002497.619048</v>
      </c>
      <c r="G23" s="7"/>
    </row>
    <row r="24" customFormat="false" ht="15" hidden="false" customHeight="false" outlineLevel="0" collapsed="false">
      <c r="A24" s="24" t="s">
        <v>225</v>
      </c>
      <c r="B24" s="27" t="n">
        <f aca="false">B16-B23</f>
        <v>-40560033.3333333</v>
      </c>
      <c r="C24" s="27" t="n">
        <f aca="false">C16-C23</f>
        <v>-101301954.761905</v>
      </c>
      <c r="D24" s="27" t="n">
        <f aca="false">D16-D23</f>
        <v>-84639919.047619</v>
      </c>
      <c r="E24" s="27" t="n">
        <f aca="false">E16-E23</f>
        <v>57335466.6666666</v>
      </c>
      <c r="F24" s="27" t="n">
        <f aca="false">F16-F23</f>
        <v>161997502.380952</v>
      </c>
      <c r="G24" s="7"/>
    </row>
    <row r="25" customFormat="false" ht="15" hidden="false" customHeight="false" outlineLevel="0" collapsed="false">
      <c r="A25" s="7" t="s">
        <v>262</v>
      </c>
      <c r="B25" s="34" t="n">
        <f aca="false">IF(B16=0,0,B24/B16)</f>
        <v>-0.676000555555556</v>
      </c>
      <c r="C25" s="34" t="n">
        <f aca="false">IF(C16=0,0,C24/C16)</f>
        <v>-1.12557727513228</v>
      </c>
      <c r="D25" s="34" t="n">
        <f aca="false">IF(D16=0,0,D24/D16)</f>
        <v>-0.291861789819376</v>
      </c>
      <c r="E25" s="34" t="n">
        <f aca="false">IF(E16=0,0,E24/E16)</f>
        <v>0.12464231884058</v>
      </c>
      <c r="F25" s="34" t="n">
        <f aca="false">IF(F16=0,0,F24/F16)</f>
        <v>0.245450761183261</v>
      </c>
      <c r="G25" s="7"/>
    </row>
    <row r="26" customFormat="false" ht="15" hidden="false" customHeight="false" outlineLevel="0" collapsed="false">
      <c r="A26" s="24" t="s">
        <v>263</v>
      </c>
      <c r="B26" s="36" t="n">
        <f aca="false">B24</f>
        <v>-40560033.3333333</v>
      </c>
      <c r="C26" s="36" t="n">
        <f aca="false">B26+C24</f>
        <v>-141861988.095238</v>
      </c>
      <c r="D26" s="36" t="n">
        <f aca="false">C26+D24</f>
        <v>-226501907.142857</v>
      </c>
      <c r="E26" s="36" t="n">
        <f aca="false">D26+E24</f>
        <v>-169166440.476191</v>
      </c>
      <c r="F26" s="36" t="n">
        <f aca="false">E26+F24</f>
        <v>-7168938.09523815</v>
      </c>
      <c r="G26" s="7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28" t="s">
        <v>264</v>
      </c>
      <c r="B28" s="6"/>
      <c r="C28" s="6"/>
      <c r="D28" s="6"/>
      <c r="E28" s="6"/>
      <c r="F28" s="6"/>
      <c r="G28" s="6"/>
    </row>
    <row r="29" customFormat="false" ht="17.15" hidden="false" customHeight="false" outlineLevel="0" collapsed="false">
      <c r="A29" s="7" t="s">
        <v>265</v>
      </c>
      <c r="B29" s="25" t="n">
        <f aca="false">B6*UnitCost_A!$D$35+B7*UnitCost_B!$B$16</f>
        <v>498</v>
      </c>
      <c r="C29" s="25" t="n">
        <f aca="false">C6*UnitCost_A!$D$35+C7*UnitCost_B!$B$16</f>
        <v>747</v>
      </c>
      <c r="D29" s="25" t="n">
        <f aca="false">D6*UnitCost_A!$D$35+D7*UnitCost_B!$B$16</f>
        <v>1802</v>
      </c>
      <c r="E29" s="25" t="n">
        <f aca="false">E6*UnitCost_A!$D$35+E7*UnitCost_B!$B$16</f>
        <v>2608</v>
      </c>
      <c r="F29" s="25" t="n">
        <f aca="false">F6*UnitCost_A!$D$35+F7*UnitCost_B!$B$16</f>
        <v>3663</v>
      </c>
      <c r="G29" s="7"/>
    </row>
    <row r="30" customFormat="false" ht="17.15" hidden="false" customHeight="false" outlineLevel="0" collapsed="false">
      <c r="A30" s="7" t="s">
        <v>266</v>
      </c>
      <c r="B30" s="25" t="n">
        <f aca="false">B8*Inputs!$B$7</f>
        <v>1600</v>
      </c>
      <c r="C30" s="25" t="n">
        <f aca="false">C8*Inputs!$B$7</f>
        <v>2400</v>
      </c>
      <c r="D30" s="25" t="n">
        <f aca="false">D8*Inputs!$B$7</f>
        <v>4800</v>
      </c>
      <c r="E30" s="25" t="n">
        <f aca="false">E8*Inputs!$B$7</f>
        <v>4800</v>
      </c>
      <c r="F30" s="25" t="n">
        <f aca="false">F8*Inputs!$B$7</f>
        <v>6400</v>
      </c>
      <c r="G30" s="7"/>
    </row>
    <row r="31" customFormat="false" ht="17.15" hidden="false" customHeight="false" outlineLevel="0" collapsed="false">
      <c r="A31" s="7" t="s">
        <v>267</v>
      </c>
      <c r="B31" s="34" t="n">
        <f aca="false">IF(B30=0,0,B29/B30)</f>
        <v>0.31125</v>
      </c>
      <c r="C31" s="34" t="n">
        <f aca="false">IF(C30=0,0,C29/C30)</f>
        <v>0.31125</v>
      </c>
      <c r="D31" s="34" t="n">
        <f aca="false">IF(D30=0,0,D29/D30)</f>
        <v>0.375416666666667</v>
      </c>
      <c r="E31" s="34" t="n">
        <f aca="false">IF(E30=0,0,E29/E30)</f>
        <v>0.543333333333333</v>
      </c>
      <c r="F31" s="34" t="n">
        <f aca="false">IF(F30=0,0,F29/F30)</f>
        <v>0.57234375</v>
      </c>
      <c r="G31" s="20" t="s">
        <v>268</v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</row>
    <row r="33" customFormat="false" ht="17.15" hidden="false" customHeight="false" outlineLevel="0" collapsed="false">
      <c r="A33" s="7" t="s">
        <v>269</v>
      </c>
      <c r="B33" s="6"/>
      <c r="C33" s="6"/>
      <c r="D33" s="6"/>
      <c r="E33" s="6"/>
      <c r="F33" s="6"/>
      <c r="G3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20.1" hidden="false" customHeight="false" outlineLevel="0" collapsed="false">
      <c r="A1" s="5" t="s">
        <v>270</v>
      </c>
      <c r="B1" s="6"/>
      <c r="C1" s="6"/>
      <c r="D1" s="6"/>
      <c r="E1" s="6"/>
      <c r="F1" s="6"/>
    </row>
    <row r="2" customFormat="false" ht="17.15" hidden="false" customHeight="false" outlineLevel="0" collapsed="false">
      <c r="A2" s="7" t="s">
        <v>271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7.15" hidden="false" customHeight="false" outlineLevel="0" collapsed="false">
      <c r="A4" s="8" t="s">
        <v>272</v>
      </c>
      <c r="B4" s="40" t="n">
        <v>100000000</v>
      </c>
      <c r="C4" s="40" t="n">
        <v>150000000</v>
      </c>
      <c r="D4" s="40" t="n">
        <v>200000000</v>
      </c>
      <c r="E4" s="40" t="n">
        <v>300000000</v>
      </c>
      <c r="F4" s="40" t="n">
        <v>400000000</v>
      </c>
    </row>
    <row r="5" customFormat="false" ht="15" hidden="false" customHeight="false" outlineLevel="0" collapsed="false">
      <c r="A5" s="21" t="n">
        <v>800</v>
      </c>
      <c r="B5" s="34" t="n">
        <f aca="false">IF(B$4=0,0,(B$4-(($A5*Inputs!$B$8+UnitCost_B!$D$17+UnitCost_B!$D$18+UnitCost_B!$D$28)*(1+Inputs!$B$37)+($A5*Inputs!$B$8+UnitCost_B!$D$17+UnitCost_B!$D$18)*Inputs!$B$36))/B$4)</f>
        <v>0.315095357142857</v>
      </c>
      <c r="C5" s="34" t="n">
        <f aca="false">IF(C$4=0,0,(C$4-(($A5*Inputs!$B$8+UnitCost_B!$D$17+UnitCost_B!$D$18+UnitCost_B!$D$28)*(1+Inputs!$B$37)+($A5*Inputs!$B$8+UnitCost_B!$D$17+UnitCost_B!$D$18)*Inputs!$B$36))/C$4)</f>
        <v>0.543396904761905</v>
      </c>
      <c r="D5" s="34" t="n">
        <f aca="false">IF(D$4=0,0,(D$4-(($A5*Inputs!$B$8+UnitCost_B!$D$17+UnitCost_B!$D$18+UnitCost_B!$D$28)*(1+Inputs!$B$37)+($A5*Inputs!$B$8+UnitCost_B!$D$17+UnitCost_B!$D$18)*Inputs!$B$36))/D$4)</f>
        <v>0.657547678571429</v>
      </c>
      <c r="E5" s="34" t="n">
        <f aca="false">IF(E$4=0,0,(E$4-(($A5*Inputs!$B$8+UnitCost_B!$D$17+UnitCost_B!$D$18+UnitCost_B!$D$28)*(1+Inputs!$B$37)+($A5*Inputs!$B$8+UnitCost_B!$D$17+UnitCost_B!$D$18)*Inputs!$B$36))/E$4)</f>
        <v>0.771698452380952</v>
      </c>
      <c r="F5" s="34" t="n">
        <f aca="false">IF(F$4=0,0,(F$4-(($A5*Inputs!$B$8+UnitCost_B!$D$17+UnitCost_B!$D$18+UnitCost_B!$D$28)*(1+Inputs!$B$37)+($A5*Inputs!$B$8+UnitCost_B!$D$17+UnitCost_B!$D$18)*Inputs!$B$36))/F$4)</f>
        <v>0.828773839285714</v>
      </c>
    </row>
    <row r="6" customFormat="false" ht="15" hidden="false" customHeight="false" outlineLevel="0" collapsed="false">
      <c r="A6" s="21" t="n">
        <v>1000</v>
      </c>
      <c r="B6" s="34" t="n">
        <f aca="false">IF(B$4=0,0,(B$4-(($A6*Inputs!$B$8+UnitCost_B!$D$17+UnitCost_B!$D$18+UnitCost_B!$D$28)*(1+Inputs!$B$37)+($A6*Inputs!$B$8+UnitCost_B!$D$17+UnitCost_B!$D$18)*Inputs!$B$36))/B$4)</f>
        <v>0.203720357142857</v>
      </c>
      <c r="C6" s="34" t="n">
        <f aca="false">IF(C$4=0,0,(C$4-(($A6*Inputs!$B$8+UnitCost_B!$D$17+UnitCost_B!$D$18+UnitCost_B!$D$28)*(1+Inputs!$B$37)+($A6*Inputs!$B$8+UnitCost_B!$D$17+UnitCost_B!$D$18)*Inputs!$B$36))/C$4)</f>
        <v>0.469146904761905</v>
      </c>
      <c r="D6" s="34" t="n">
        <f aca="false">IF(D$4=0,0,(D$4-(($A6*Inputs!$B$8+UnitCost_B!$D$17+UnitCost_B!$D$18+UnitCost_B!$D$28)*(1+Inputs!$B$37)+($A6*Inputs!$B$8+UnitCost_B!$D$17+UnitCost_B!$D$18)*Inputs!$B$36))/D$4)</f>
        <v>0.601860178571429</v>
      </c>
      <c r="E6" s="34" t="n">
        <f aca="false">IF(E$4=0,0,(E$4-(($A6*Inputs!$B$8+UnitCost_B!$D$17+UnitCost_B!$D$18+UnitCost_B!$D$28)*(1+Inputs!$B$37)+($A6*Inputs!$B$8+UnitCost_B!$D$17+UnitCost_B!$D$18)*Inputs!$B$36))/E$4)</f>
        <v>0.734573452380952</v>
      </c>
      <c r="F6" s="34" t="n">
        <f aca="false">IF(F$4=0,0,(F$4-(($A6*Inputs!$B$8+UnitCost_B!$D$17+UnitCost_B!$D$18+UnitCost_B!$D$28)*(1+Inputs!$B$37)+($A6*Inputs!$B$8+UnitCost_B!$D$17+UnitCost_B!$D$18)*Inputs!$B$36))/F$4)</f>
        <v>0.800930089285714</v>
      </c>
    </row>
    <row r="7" customFormat="false" ht="15" hidden="false" customHeight="false" outlineLevel="0" collapsed="false">
      <c r="A7" s="21" t="n">
        <v>1200</v>
      </c>
      <c r="B7" s="34" t="n">
        <f aca="false">IF(B$4=0,0,(B$4-(($A7*Inputs!$B$8+UnitCost_B!$D$17+UnitCost_B!$D$18+UnitCost_B!$D$28)*(1+Inputs!$B$37)+($A7*Inputs!$B$8+UnitCost_B!$D$17+UnitCost_B!$D$18)*Inputs!$B$36))/B$4)</f>
        <v>0.092345357142857</v>
      </c>
      <c r="C7" s="34" t="n">
        <f aca="false">IF(C$4=0,0,(C$4-(($A7*Inputs!$B$8+UnitCost_B!$D$17+UnitCost_B!$D$18+UnitCost_B!$D$28)*(1+Inputs!$B$37)+($A7*Inputs!$B$8+UnitCost_B!$D$17+UnitCost_B!$D$18)*Inputs!$B$36))/C$4)</f>
        <v>0.394896904761905</v>
      </c>
      <c r="D7" s="34" t="n">
        <f aca="false">IF(D$4=0,0,(D$4-(($A7*Inputs!$B$8+UnitCost_B!$D$17+UnitCost_B!$D$18+UnitCost_B!$D$28)*(1+Inputs!$B$37)+($A7*Inputs!$B$8+UnitCost_B!$D$17+UnitCost_B!$D$18)*Inputs!$B$36))/D$4)</f>
        <v>0.546172678571429</v>
      </c>
      <c r="E7" s="34" t="n">
        <f aca="false">IF(E$4=0,0,(E$4-(($A7*Inputs!$B$8+UnitCost_B!$D$17+UnitCost_B!$D$18+UnitCost_B!$D$28)*(1+Inputs!$B$37)+($A7*Inputs!$B$8+UnitCost_B!$D$17+UnitCost_B!$D$18)*Inputs!$B$36))/E$4)</f>
        <v>0.697448452380952</v>
      </c>
      <c r="F7" s="34" t="n">
        <f aca="false">IF(F$4=0,0,(F$4-(($A7*Inputs!$B$8+UnitCost_B!$D$17+UnitCost_B!$D$18+UnitCost_B!$D$28)*(1+Inputs!$B$37)+($A7*Inputs!$B$8+UnitCost_B!$D$17+UnitCost_B!$D$18)*Inputs!$B$36))/F$4)</f>
        <v>0.773086339285714</v>
      </c>
    </row>
    <row r="8" customFormat="false" ht="15" hidden="false" customHeight="false" outlineLevel="0" collapsed="false">
      <c r="A8" s="21" t="n">
        <v>1500</v>
      </c>
      <c r="B8" s="34" t="n">
        <f aca="false">IF(B$4=0,0,(B$4-(($A8*Inputs!$B$8+UnitCost_B!$D$17+UnitCost_B!$D$18+UnitCost_B!$D$28)*(1+Inputs!$B$37)+($A8*Inputs!$B$8+UnitCost_B!$D$17+UnitCost_B!$D$18)*Inputs!$B$36))/B$4)</f>
        <v>-0.074717142857143</v>
      </c>
      <c r="C8" s="34" t="n">
        <f aca="false">IF(C$4=0,0,(C$4-(($A8*Inputs!$B$8+UnitCost_B!$D$17+UnitCost_B!$D$18+UnitCost_B!$D$28)*(1+Inputs!$B$37)+($A8*Inputs!$B$8+UnitCost_B!$D$17+UnitCost_B!$D$18)*Inputs!$B$36))/C$4)</f>
        <v>0.283521904761905</v>
      </c>
      <c r="D8" s="34" t="n">
        <f aca="false">IF(D$4=0,0,(D$4-(($A8*Inputs!$B$8+UnitCost_B!$D$17+UnitCost_B!$D$18+UnitCost_B!$D$28)*(1+Inputs!$B$37)+($A8*Inputs!$B$8+UnitCost_B!$D$17+UnitCost_B!$D$18)*Inputs!$B$36))/D$4)</f>
        <v>0.462641428571429</v>
      </c>
      <c r="E8" s="34" t="n">
        <f aca="false">IF(E$4=0,0,(E$4-(($A8*Inputs!$B$8+UnitCost_B!$D$17+UnitCost_B!$D$18+UnitCost_B!$D$28)*(1+Inputs!$B$37)+($A8*Inputs!$B$8+UnitCost_B!$D$17+UnitCost_B!$D$18)*Inputs!$B$36))/E$4)</f>
        <v>0.641760952380952</v>
      </c>
      <c r="F8" s="34" t="n">
        <f aca="false">IF(F$4=0,0,(F$4-(($A8*Inputs!$B$8+UnitCost_B!$D$17+UnitCost_B!$D$18+UnitCost_B!$D$28)*(1+Inputs!$B$37)+($A8*Inputs!$B$8+UnitCost_B!$D$17+UnitCost_B!$D$18)*Inputs!$B$36))/F$4)</f>
        <v>0.731320714285714</v>
      </c>
    </row>
    <row r="9" customFormat="false" ht="15" hidden="false" customHeight="false" outlineLevel="0" collapsed="false">
      <c r="A9" s="21" t="n">
        <v>1800</v>
      </c>
      <c r="B9" s="34" t="n">
        <f aca="false">IF(B$4=0,0,(B$4-(($A9*Inputs!$B$8+UnitCost_B!$D$17+UnitCost_B!$D$18+UnitCost_B!$D$28)*(1+Inputs!$B$37)+($A9*Inputs!$B$8+UnitCost_B!$D$17+UnitCost_B!$D$18)*Inputs!$B$36))/B$4)</f>
        <v>-0.241779642857143</v>
      </c>
      <c r="C9" s="34" t="n">
        <f aca="false">IF(C$4=0,0,(C$4-(($A9*Inputs!$B$8+UnitCost_B!$D$17+UnitCost_B!$D$18+UnitCost_B!$D$28)*(1+Inputs!$B$37)+($A9*Inputs!$B$8+UnitCost_B!$D$17+UnitCost_B!$D$18)*Inputs!$B$36))/C$4)</f>
        <v>0.172146904761905</v>
      </c>
      <c r="D9" s="34" t="n">
        <f aca="false">IF(D$4=0,0,(D$4-(($A9*Inputs!$B$8+UnitCost_B!$D$17+UnitCost_B!$D$18+UnitCost_B!$D$28)*(1+Inputs!$B$37)+($A9*Inputs!$B$8+UnitCost_B!$D$17+UnitCost_B!$D$18)*Inputs!$B$36))/D$4)</f>
        <v>0.379110178571429</v>
      </c>
      <c r="E9" s="34" t="n">
        <f aca="false">IF(E$4=0,0,(E$4-(($A9*Inputs!$B$8+UnitCost_B!$D$17+UnitCost_B!$D$18+UnitCost_B!$D$28)*(1+Inputs!$B$37)+($A9*Inputs!$B$8+UnitCost_B!$D$17+UnitCost_B!$D$18)*Inputs!$B$36))/E$4)</f>
        <v>0.586073452380952</v>
      </c>
      <c r="F9" s="34" t="n">
        <f aca="false">IF(F$4=0,0,(F$4-(($A9*Inputs!$B$8+UnitCost_B!$D$17+UnitCost_B!$D$18+UnitCost_B!$D$28)*(1+Inputs!$B$37)+($A9*Inputs!$B$8+UnitCost_B!$D$17+UnitCost_B!$D$18)*Inputs!$B$36))/F$4)</f>
        <v>0.689555089285714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</row>
    <row r="12" customFormat="false" ht="20.1" hidden="false" customHeight="false" outlineLevel="0" collapsed="false">
      <c r="A12" s="5" t="s">
        <v>273</v>
      </c>
      <c r="B12" s="6"/>
      <c r="C12" s="6"/>
      <c r="D12" s="6"/>
      <c r="E12" s="6"/>
      <c r="F12" s="6"/>
    </row>
    <row r="13" customFormat="false" ht="17.15" hidden="false" customHeight="false" outlineLevel="0" collapsed="false">
      <c r="A13" s="8" t="s">
        <v>274</v>
      </c>
      <c r="B13" s="40" t="n">
        <v>15000000</v>
      </c>
      <c r="C13" s="40" t="n">
        <v>20000000</v>
      </c>
      <c r="D13" s="40" t="n">
        <v>30000000</v>
      </c>
      <c r="E13" s="40" t="n">
        <v>40000000</v>
      </c>
      <c r="F13" s="40" t="n">
        <v>50000000</v>
      </c>
    </row>
    <row r="14" customFormat="false" ht="15" hidden="false" customHeight="false" outlineLevel="0" collapsed="false">
      <c r="A14" s="26" t="n">
        <v>1</v>
      </c>
      <c r="B14" s="34" t="n">
        <f aca="false">IF(B$13=0,0,(B$13-($A14*UnitCost_A!$D$24+(Inputs!$B$42+Inputs!$B$43)*Inputs!$B$8*(1+Inputs!$B$36)))/B$13)</f>
        <v>0.4040325</v>
      </c>
      <c r="C14" s="34" t="n">
        <f aca="false">IF(C$13=0,0,(C$13-($A14*UnitCost_A!$D$24+(Inputs!$B$42+Inputs!$B$43)*Inputs!$B$8*(1+Inputs!$B$36)))/C$13)</f>
        <v>0.553024375</v>
      </c>
      <c r="D14" s="34" t="n">
        <f aca="false">IF(D$13=0,0,(D$13-($A14*UnitCost_A!$D$24+(Inputs!$B$42+Inputs!$B$43)*Inputs!$B$8*(1+Inputs!$B$36)))/D$13)</f>
        <v>0.70201625</v>
      </c>
      <c r="E14" s="34" t="n">
        <f aca="false">IF(E$13=0,0,(E$13-($A14*UnitCost_A!$D$24+(Inputs!$B$42+Inputs!$B$43)*Inputs!$B$8*(1+Inputs!$B$36)))/E$13)</f>
        <v>0.7765121875</v>
      </c>
      <c r="F14" s="34" t="n">
        <f aca="false">IF(F$13=0,0,(F$13-($A14*UnitCost_A!$D$24+(Inputs!$B$42+Inputs!$B$43)*Inputs!$B$8*(1+Inputs!$B$36)))/F$13)</f>
        <v>0.82120975</v>
      </c>
    </row>
    <row r="15" customFormat="false" ht="15" hidden="false" customHeight="false" outlineLevel="0" collapsed="false">
      <c r="A15" s="26" t="n">
        <v>2</v>
      </c>
      <c r="B15" s="34" t="n">
        <f aca="false">IF(B$13=0,0,(B$13-($A15*UnitCost_A!$D$24+(Inputs!$B$42+Inputs!$B$43)*Inputs!$B$8*(1+Inputs!$B$36)))/B$13)</f>
        <v>0.220565</v>
      </c>
      <c r="C15" s="34" t="n">
        <f aca="false">IF(C$13=0,0,(C$13-($A15*UnitCost_A!$D$24+(Inputs!$B$42+Inputs!$B$43)*Inputs!$B$8*(1+Inputs!$B$36)))/C$13)</f>
        <v>0.41542375</v>
      </c>
      <c r="D15" s="34" t="n">
        <f aca="false">IF(D$13=0,0,(D$13-($A15*UnitCost_A!$D$24+(Inputs!$B$42+Inputs!$B$43)*Inputs!$B$8*(1+Inputs!$B$36)))/D$13)</f>
        <v>0.6102825</v>
      </c>
      <c r="E15" s="34" t="n">
        <f aca="false">IF(E$13=0,0,(E$13-($A15*UnitCost_A!$D$24+(Inputs!$B$42+Inputs!$B$43)*Inputs!$B$8*(1+Inputs!$B$36)))/E$13)</f>
        <v>0.707711875</v>
      </c>
      <c r="F15" s="34" t="n">
        <f aca="false">IF(F$13=0,0,(F$13-($A15*UnitCost_A!$D$24+(Inputs!$B$42+Inputs!$B$43)*Inputs!$B$8*(1+Inputs!$B$36)))/F$13)</f>
        <v>0.7661695</v>
      </c>
    </row>
    <row r="16" customFormat="false" ht="15" hidden="false" customHeight="false" outlineLevel="0" collapsed="false">
      <c r="A16" s="26" t="n">
        <v>3</v>
      </c>
      <c r="B16" s="34" t="n">
        <f aca="false">IF(B$13=0,0,(B$13-($A16*UnitCost_A!$D$24+(Inputs!$B$42+Inputs!$B$43)*Inputs!$B$8*(1+Inputs!$B$36)))/B$13)</f>
        <v>0.0370975</v>
      </c>
      <c r="C16" s="34" t="n">
        <f aca="false">IF(C$13=0,0,(C$13-($A16*UnitCost_A!$D$24+(Inputs!$B$42+Inputs!$B$43)*Inputs!$B$8*(1+Inputs!$B$36)))/C$13)</f>
        <v>0.277823125</v>
      </c>
      <c r="D16" s="34" t="n">
        <f aca="false">IF(D$13=0,0,(D$13-($A16*UnitCost_A!$D$24+(Inputs!$B$42+Inputs!$B$43)*Inputs!$B$8*(1+Inputs!$B$36)))/D$13)</f>
        <v>0.51854875</v>
      </c>
      <c r="E16" s="34" t="n">
        <f aca="false">IF(E$13=0,0,(E$13-($A16*UnitCost_A!$D$24+(Inputs!$B$42+Inputs!$B$43)*Inputs!$B$8*(1+Inputs!$B$36)))/E$13)</f>
        <v>0.6389115625</v>
      </c>
      <c r="F16" s="34" t="n">
        <f aca="false">IF(F$13=0,0,(F$13-($A16*UnitCost_A!$D$24+(Inputs!$B$42+Inputs!$B$43)*Inputs!$B$8*(1+Inputs!$B$36)))/F$13)</f>
        <v>0.71112925</v>
      </c>
    </row>
    <row r="17" customFormat="false" ht="15" hidden="false" customHeight="false" outlineLevel="0" collapsed="false">
      <c r="A17" s="26" t="n">
        <v>5</v>
      </c>
      <c r="B17" s="34" t="n">
        <f aca="false">IF(B$13=0,0,(B$13-($A17*UnitCost_A!$D$24+(Inputs!$B$42+Inputs!$B$43)*Inputs!$B$8*(1+Inputs!$B$36)))/B$13)</f>
        <v>-0.3298375</v>
      </c>
      <c r="C17" s="34" t="n">
        <f aca="false">IF(C$13=0,0,(C$13-($A17*UnitCost_A!$D$24+(Inputs!$B$42+Inputs!$B$43)*Inputs!$B$8*(1+Inputs!$B$36)))/C$13)</f>
        <v>0.002621875</v>
      </c>
      <c r="D17" s="34" t="n">
        <f aca="false">IF(D$13=0,0,(D$13-($A17*UnitCost_A!$D$24+(Inputs!$B$42+Inputs!$B$43)*Inputs!$B$8*(1+Inputs!$B$36)))/D$13)</f>
        <v>0.33508125</v>
      </c>
      <c r="E17" s="34" t="n">
        <f aca="false">IF(E$13=0,0,(E$13-($A17*UnitCost_A!$D$24+(Inputs!$B$42+Inputs!$B$43)*Inputs!$B$8*(1+Inputs!$B$36)))/E$13)</f>
        <v>0.5013109375</v>
      </c>
      <c r="F17" s="34" t="n">
        <f aca="false">IF(F$13=0,0,(F$13-($A17*UnitCost_A!$D$24+(Inputs!$B$42+Inputs!$B$43)*Inputs!$B$8*(1+Inputs!$B$36)))/F$13)</f>
        <v>0.60104875</v>
      </c>
    </row>
    <row r="18" customFormat="false" ht="15" hidden="false" customHeight="false" outlineLevel="0" collapsed="false">
      <c r="A18" s="26" t="n">
        <v>8</v>
      </c>
      <c r="B18" s="34" t="n">
        <f aca="false">IF(B$13=0,0,(B$13-($A18*UnitCost_A!$D$24+(Inputs!$B$42+Inputs!$B$43)*Inputs!$B$8*(1+Inputs!$B$36)))/B$13)</f>
        <v>-0.88024</v>
      </c>
      <c r="C18" s="34" t="n">
        <f aca="false">IF(C$13=0,0,(C$13-($A18*UnitCost_A!$D$24+(Inputs!$B$42+Inputs!$B$43)*Inputs!$B$8*(1+Inputs!$B$36)))/C$13)</f>
        <v>-0.41018</v>
      </c>
      <c r="D18" s="34" t="n">
        <f aca="false">IF(D$13=0,0,(D$13-($A18*UnitCost_A!$D$24+(Inputs!$B$42+Inputs!$B$43)*Inputs!$B$8*(1+Inputs!$B$36)))/D$13)</f>
        <v>0.05988</v>
      </c>
      <c r="E18" s="34" t="n">
        <f aca="false">IF(E$13=0,0,(E$13-($A18*UnitCost_A!$D$24+(Inputs!$B$42+Inputs!$B$43)*Inputs!$B$8*(1+Inputs!$B$36)))/E$13)</f>
        <v>0.29491</v>
      </c>
      <c r="F18" s="34" t="n">
        <f aca="false">IF(F$13=0,0,(F$13-($A18*UnitCost_A!$D$24+(Inputs!$B$42+Inputs!$B$43)*Inputs!$B$8*(1+Inputs!$B$36)))/F$13)</f>
        <v>0.435928</v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</row>
    <row r="21" customFormat="false" ht="17.15" hidden="false" customHeight="false" outlineLevel="0" collapsed="false">
      <c r="A21" s="7" t="s">
        <v>275</v>
      </c>
      <c r="B21" s="6"/>
      <c r="C21" s="6"/>
      <c r="D21" s="6"/>
      <c r="E21" s="6"/>
      <c r="F2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2026-09-16T11:34:31Z</dcterms:created>
  <dc:creator>openpyxl</dc:creator>
  <dc:description/>
  <dc:language>en-US</dc:language>
  <cp:lastModifiedBy/>
  <dcterms:modified xsi:type="dcterms:W3CDTF">2026-09-16T11:34:31Z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